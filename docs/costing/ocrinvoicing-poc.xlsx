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worksheets/sheet8.xml" ContentType="application/vnd.openxmlformats-officedocument.spreadsheetml.worksheet+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heetId="1" state="visible" r:id="rId1"/>
    <sheet name="Multi-Year" sheetId="2" state="visible" r:id="rId2"/>
    <sheet name="Epics" sheetId="3" state="visible" r:id="rId3"/>
    <sheet name="Sprints" sheetId="4" state="visible" r:id="rId4"/>
    <sheet name="Phase Budgets" sheetId="5" state="visible" r:id="rId5"/>
    <sheet name="Revenue" sheetId="6" state="visible" r:id="rId6"/>
    <sheet name="Rate Card" sheetId="7" state="visible" r:id="rId7"/>
    <sheet name="Other Costs" sheetId="8" state="visible" r:id="rId8"/>
    <sheet name="Run Costs" sheetId="9" state="visible" r:id="rId9"/>
    <sheet name="Shared" sheetId="10" state="visible" r:id="rId10"/>
    <sheet name="Dev" sheetId="11" state="visible" r:id="rId11"/>
    <sheet name="Prod" sheetId="12" state="visible" r:id="rId12"/>
    <sheet name="Sources &amp; Gaps" sheetId="13" state="visible" r:id="rId13"/>
  </sheets>
  <definedNames>
    <definedName name="DeliveryDays">Overall!$B$5</definedName>
    <definedName name="WorkingDaysPerMonth">Overall!$B$6</definedName>
    <definedName name="DeliveryMonths">Overall!$B$7</definedName>
    <definedName name="HoursPerMonth">Overall!$B$8</definedName>
    <definedName name="ProjectStart">Overall!$B$9</definedName>
    <definedName name="SprintDays">Overall!$B$10</definedName>
    <definedName name="HorizonYears">Overall!$B$11</definedName>
    <definedName name="CostEscalation">Overall!$B$12</definedName>
    <definedName name="HorizonFactor">Overall!$B$13</definedName>
    <definedName name="Contingency">Overall!$B$14</definedName>
    <definedName name="FxRate">Overall!$B$15</definedName>
    <definedName name="LastActual">Sprints!$C$3</definedName>
  </definedNames>
  <calcPr calcId="124519" fullCalcOnLoad="1"/>
</workbook>
</file>

<file path=xl/styles.xml><?xml version="1.0" encoding="utf-8"?>
<styleSheet xmlns="http://schemas.openxmlformats.org/spreadsheetml/2006/main">
  <numFmts count="9">
    <numFmt numFmtId="164" formatCode="#,##0.0000"/>
    <numFmt numFmtId="165" formatCode="#,##0.##"/>
    <numFmt numFmtId="166" formatCode="0.0"/>
    <numFmt numFmtId="167" formatCode="yyyy-mm-dd"/>
    <numFmt numFmtId="168" formatCode="0.0%"/>
    <numFmt numFmtId="169" formatCode="0.0000"/>
    <numFmt numFmtId="170" formatCode="+#,##0;-#,##0;0"/>
    <numFmt numFmtId="171" formatCode="+0.0%;-0.0%;0.0%"/>
    <numFmt numFmtId="172" formatCode="+#,##0.00;-#,##0.00;0.00"/>
  </numFmts>
  <fonts count="8">
    <font>
      <name val="Calibri"/>
      <family val="2"/>
      <color theme="1"/>
      <sz val="11"/>
      <scheme val="minor"/>
    </font>
    <font>
      <b val="1"/>
      <sz val="14"/>
    </font>
    <font>
      <b val="1"/>
      <color rgb="00FFFFFF"/>
    </font>
    <font>
      <color rgb="000000FF"/>
    </font>
    <font>
      <b val="1"/>
    </font>
    <font>
      <b val="1"/>
      <color rgb="001F4E78"/>
      <sz val="12"/>
    </font>
    <font>
      <color rgb="00008000"/>
    </font>
    <font>
      <b val="1"/>
      <sz val="12"/>
    </font>
  </fonts>
  <fills count="3">
    <fill>
      <patternFill/>
    </fill>
    <fill>
      <patternFill patternType="gray125"/>
    </fill>
    <fill>
      <patternFill patternType="solid">
        <fgColor rgb="001F4E78"/>
      </patternFill>
    </fill>
  </fills>
  <borders count="2">
    <border>
      <left/>
      <right/>
      <top/>
      <bottom/>
      <diagonal/>
    </border>
    <border>
      <top style="thin"/>
    </border>
  </borders>
  <cellStyleXfs count="1">
    <xf numFmtId="0" fontId="0" fillId="0" borderId="0"/>
  </cellStyleXfs>
  <cellXfs count="36">
    <xf numFmtId="0" fontId="0" fillId="0" borderId="0" pivotButton="0" quotePrefix="0" xfId="0"/>
    <xf numFmtId="0" fontId="1" fillId="0" borderId="0" pivotButton="0" quotePrefix="0" xfId="0"/>
    <xf numFmtId="0" fontId="5" fillId="0" borderId="0" pivotButton="0" quotePrefix="0" xfId="0"/>
    <xf numFmtId="0" fontId="2" fillId="2" borderId="0" applyAlignment="1" pivotButton="0" quotePrefix="0" xfId="0">
      <alignment vertical="center" wrapText="1"/>
    </xf>
    <xf numFmtId="165" fontId="3" fillId="0" borderId="0" pivotButton="0" quotePrefix="0" xfId="0"/>
    <xf numFmtId="166" fontId="0" fillId="0" borderId="0" pivotButton="0" quotePrefix="0" xfId="0"/>
    <xf numFmtId="167" fontId="3" fillId="0" borderId="0" pivotButton="0" quotePrefix="0" xfId="0"/>
    <xf numFmtId="1" fontId="3" fillId="0" borderId="0" pivotButton="0" quotePrefix="0" xfId="0"/>
    <xf numFmtId="168" fontId="3" fillId="0" borderId="0" pivotButton="0" quotePrefix="0" xfId="0"/>
    <xf numFmtId="2" fontId="0" fillId="0" borderId="0" pivotButton="0" quotePrefix="0" xfId="0"/>
    <xf numFmtId="9" fontId="3" fillId="0" borderId="0" pivotButton="0" quotePrefix="0" xfId="0"/>
    <xf numFmtId="169" fontId="3" fillId="0" borderId="0" pivotButton="0" quotePrefix="0" xfId="0"/>
    <xf numFmtId="4" fontId="6" fillId="0" borderId="0" pivotButton="0" quotePrefix="0" xfId="0"/>
    <xf numFmtId="165" fontId="0" fillId="0" borderId="0" pivotButton="0" quotePrefix="0" xfId="0"/>
    <xf numFmtId="4" fontId="0" fillId="0" borderId="0" pivotButton="0" quotePrefix="0" xfId="0"/>
    <xf numFmtId="0" fontId="3" fillId="0" borderId="0" pivotButton="0" quotePrefix="0" xfId="0"/>
    <xf numFmtId="0" fontId="4" fillId="0" borderId="1" pivotButton="0" quotePrefix="0" xfId="0"/>
    <xf numFmtId="165" fontId="4" fillId="0" borderId="1" pivotButton="0" quotePrefix="0" xfId="0"/>
    <xf numFmtId="4" fontId="4" fillId="0" borderId="1" pivotButton="0" quotePrefix="0" xfId="0"/>
    <xf numFmtId="166" fontId="3" fillId="0" borderId="0" pivotButton="0" quotePrefix="0" xfId="0"/>
    <xf numFmtId="0" fontId="7" fillId="0" borderId="1" pivotButton="0" quotePrefix="0" xfId="0"/>
    <xf numFmtId="4" fontId="7" fillId="0" borderId="1" pivotButton="0" quotePrefix="0" xfId="0"/>
    <xf numFmtId="0" fontId="6" fillId="0" borderId="0" pivotButton="0" quotePrefix="0" xfId="0"/>
    <xf numFmtId="0" fontId="4" fillId="0" borderId="0" pivotButton="0" quotePrefix="0" xfId="0"/>
    <xf numFmtId="168" fontId="0" fillId="0" borderId="0" pivotButton="0" quotePrefix="0" xfId="0"/>
    <xf numFmtId="0" fontId="0" fillId="0" borderId="0" applyAlignment="1" pivotButton="0" quotePrefix="0" xfId="0">
      <alignment vertical="top" wrapText="1"/>
    </xf>
    <xf numFmtId="167" fontId="0" fillId="0" borderId="0" pivotButton="0" quotePrefix="0" xfId="0"/>
    <xf numFmtId="4" fontId="3" fillId="0" borderId="0" pivotButton="0" quotePrefix="0" xfId="0"/>
    <xf numFmtId="170" fontId="0" fillId="0" borderId="0" pivotButton="0" quotePrefix="0" xfId="0"/>
    <xf numFmtId="171" fontId="0" fillId="0" borderId="0" pivotButton="0" quotePrefix="0" xfId="0"/>
    <xf numFmtId="172" fontId="0" fillId="0" borderId="0" pivotButton="0" quotePrefix="0" xfId="0"/>
    <xf numFmtId="171" fontId="4" fillId="0" borderId="1" pivotButton="0" quotePrefix="0" xfId="0"/>
    <xf numFmtId="1" fontId="0" fillId="0" borderId="0" pivotButton="0" quotePrefix="0" xfId="0"/>
    <xf numFmtId="1" fontId="4" fillId="0" borderId="1" pivotButton="0" quotePrefix="0" xfId="0"/>
    <xf numFmtId="164" fontId="3"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tblInputs" displayName="tblInputs" ref="A4:B15" headerRowCount="1">
  <autoFilter ref="A4:B15"/>
  <tableColumns count="2">
    <tableColumn id="1" name="Input"/>
    <tableColumn id="2" name="Value"/>
  </tableColumns>
  <tableStyleInfo name="TableStyleLight9" showRowStripes="1"/>
</table>
</file>

<file path=xl/tables/table2.xml><?xml version="1.0" encoding="utf-8"?>
<table xmlns="http://schemas.openxmlformats.org/spreadsheetml/2006/main" id="2" name="tblTeam" displayName="tblTeam" ref="A18:H22" headerRowCount="1">
  <autoFilter ref="A18:H22"/>
  <tableColumns count="8">
    <tableColumn id="1" name="Role"/>
    <tableColumn id="2" name="Day rate (USD)"/>
    <tableColumn id="3" name="Employees"/>
    <tableColumn id="4" name="Days on delivery"/>
    <tableColumn id="5" name="Allocation"/>
    <tableColumn id="6" name="Mandays"/>
    <tableColumn id="7" name="Cost (USD)"/>
    <tableColumn id="8" name="Cited from"/>
  </tableColumns>
  <tableStyleInfo name="TableStyleLight9" showRowStripes="1"/>
</table>
</file>

<file path=xl/tables/table3.xml><?xml version="1.0" encoding="utf-8"?>
<table xmlns="http://schemas.openxmlformats.org/spreadsheetml/2006/main" id="3" name="tblSupport" displayName="tblSupport" ref="A26:E30" headerRowCount="1">
  <autoFilter ref="A26:E30"/>
  <tableColumns count="5">
    <tableColumn id="1" name="Role"/>
    <tableColumn id="2" name="Day rate (USD)"/>
    <tableColumn id="3" name="Mandays per year"/>
    <tableColumn id="4" name="Cost per year (USD)"/>
    <tableColumn id="5" name="Cited from"/>
  </tableColumns>
  <tableStyleInfo name="TableStyleLight9" showRowStripes="1"/>
</table>
</file>

<file path=xl/tables/table4.xml><?xml version="1.0" encoding="utf-8"?>
<table xmlns="http://schemas.openxmlformats.org/spreadsheetml/2006/main" id="4" name="tblCostSummary" displayName="tblCostSummary" ref="A34:I41" headerRowCount="1">
  <autoFilter ref="A34:I41"/>
  <tableColumns count="9">
    <tableColumn id="1" name="Item"/>
    <tableColumn id="2" name="Monthly (USD)"/>
    <tableColumn id="3" name="Months in delivery"/>
    <tableColumn id="4" name="Delivery cost (USD)"/>
    <tableColumn id="5" name="Run months per year"/>
    <tableColumn id="6" name="Run cost per year (USD)"/>
    <tableColumn id="7" name="Run cost over the horizon (USD)"/>
    <tableColumn id="8" name="Total (USD)"/>
    <tableColumn id="9" name="From"/>
  </tableColumns>
  <tableStyleInfo name="TableStyleLight9" showRowStripes="1"/>
</table>
</file>

<file path=xl/tables/table5.xml><?xml version="1.0" encoding="utf-8"?>
<table xmlns="http://schemas.openxmlformats.org/spreadsheetml/2006/main" id="5" name="tblMultiYear" displayName="tblMultiYear" ref="A4:I14" headerRowCount="1">
  <autoFilter ref="A4:I14"/>
  <tableColumns count="9">
    <tableColumn id="1" name="Category"/>
    <tableColumn id="2" name="Item"/>
    <tableColumn id="3" name="Build"/>
    <tableColumn id="4" name="Year 1"/>
    <tableColumn id="5" name="Year 2"/>
    <tableColumn id="6" name="Year 3"/>
    <tableColumn id="7" name="Year 4"/>
    <tableColumn id="8" name="Year 5"/>
    <tableColumn id="9" name="Total"/>
  </tableColumns>
  <tableStyleInfo name="TableStyleLight9" showRowStripes="1"/>
</table>
</file>

<file path=xl/tables/table6.xml><?xml version="1.0" encoding="utf-8"?>
<table xmlns="http://schemas.openxmlformats.org/spreadsheetml/2006/main" id="6" name="tblEpics" displayName="tblEpics" ref="A4:X12" headerRowCount="1">
  <autoFilter ref="A4:X12"/>
  <tableColumns count="24">
    <tableColumn id="1" name="Epic"/>
    <tableColumn id="2" name="Name"/>
    <tableColumn id="3" name="Deliverables"/>
    <tableColumn id="4" name="Planned days"/>
    <tableColumn id="5" name="Planned weeks"/>
    <tableColumn id="6" name="Planned start"/>
    <tableColumn id="7" name="Planned end"/>
    <tableColumn id="8" name="Share of build"/>
    <tableColumn id="9" name="Team mandays"/>
    <tableColumn id="10" name="Team cost (USD)"/>
    <tableColumn id="11" name="Infra cost (USD)"/>
    <tableColumn id="12" name="Other costs (USD)"/>
    <tableColumn id="13" name="Claude API budget (USD)"/>
    <tableColumn id="14" name="Forecast total (USD)"/>
    <tableColumn id="15" name="Actual start"/>
    <tableColumn id="16" name="Actual end"/>
    <tableColumn id="17" name="Actual days"/>
    <tableColumn id="18" name="Days variance"/>
    <tableColumn id="19" name="Days variance %"/>
    <tableColumn id="20" name="Claude API actual (USD)"/>
    <tableColumn id="21" name="Actual team cost, timesheets (USD)"/>
    <tableColumn id="22" name="Actual total (USD)"/>
    <tableColumn id="23" name="Cost variance (USD)"/>
    <tableColumn id="24" name="Cited from"/>
  </tableColumns>
  <tableStyleInfo name="TableStyleLight9" showRowStripes="1"/>
</table>
</file>

<file path=xl/tables/table7.xml><?xml version="1.0" encoding="utf-8"?>
<table xmlns="http://schemas.openxmlformats.org/spreadsheetml/2006/main" id="7" name="tblSprints" displayName="tblSprints" ref="A4:P11" headerRowCount="1">
  <autoFilter ref="A4:P11"/>
  <tableColumns count="16">
    <tableColumn id="1" name="Sprint"/>
    <tableColumn id="2" name="Start"/>
    <tableColumn id="3" name="End"/>
    <tableColumn id="4" name="Planned days"/>
    <tableColumn id="5" name="Planned stories"/>
    <tableColumn id="6" name="Team cost (USD)"/>
    <tableColumn id="7" name="Infra cost (USD)"/>
    <tableColumn id="8" name="Claude API budget (USD)"/>
    <tableColumn id="9" name="Forecast total (USD)"/>
    <tableColumn id="10" name="Days worked"/>
    <tableColumn id="11" name="Stories done"/>
    <tableColumn id="12" name="Stories done (list)"/>
    <tableColumn id="13" name="Claude API actual (USD)"/>
    <tableColumn id="14" name="Actual team cost, timesheets (USD)"/>
    <tableColumn id="15" name="Actual total (USD)"/>
    <tableColumn id="16" name="Cost variance (USD)"/>
  </tableColumns>
  <tableStyleInfo name="TableStyleLight9" showRowStripes="1"/>
</table>
</file>

<file path=xl/tables/table8.xml><?xml version="1.0" encoding="utf-8"?>
<table xmlns="http://schemas.openxmlformats.org/spreadsheetml/2006/main" id="8" name="tblPhaseBudgets" displayName="tblPhaseBudgets" ref="A4:F13" headerRowCount="1">
  <autoFilter ref="A4:F13"/>
  <tableColumns count="6">
    <tableColumn id="1" name="Phase"/>
    <tableColumn id="2" name="Claude API budget (USD)"/>
    <tableColumn id="3" name="Claude API actual (USD)"/>
    <tableColumn id="4" name="Variance (USD)"/>
    <tableColumn id="5" name="Variance %"/>
    <tableColumn id="6" name="Cited from"/>
  </tableColumns>
  <tableStyleInfo name="TableStyleLight9" showRowStripes="1"/>
</table>
</file>

<file path=xl/tables/table9.xml><?xml version="1.0" encoding="utf-8"?>
<table xmlns="http://schemas.openxmlformats.org/spreadsheetml/2006/main" id="9" name="tblRevenue" displayName="tblRevenue" ref="A4:J7" headerRowCount="1">
  <autoFilter ref="A4:J7"/>
  <tableColumns count="10">
    <tableColumn id="1" name="#"/>
    <tableColumn id="2" name="Stream"/>
    <tableColumn id="3" name="Basis"/>
    <tableColumn id="4" name="Year 1"/>
    <tableColumn id="5" name="Year 2"/>
    <tableColumn id="6" name="Year 3"/>
    <tableColumn id="7" name="Year 4"/>
    <tableColumn id="8" name="Year 5"/>
    <tableColumn id="9" name="Cited from"/>
    <tableColumn id="10" name="Note"/>
  </tableColumns>
  <tableStyleInfo name="TableStyleLight9" showRowStripes="1"/>
</table>
</file>

<file path=xl/tables/table10.xml><?xml version="1.0" encoding="utf-8"?>
<table xmlns="http://schemas.openxmlformats.org/spreadsheetml/2006/main" id="10" name="tblRateCard" displayName="tblRateCard" ref="A4:C5" headerRowCount="1">
  <autoFilter ref="A4:C5"/>
  <tableColumns count="3">
    <tableColumn id="1" name="Role"/>
    <tableColumn id="2" name="Day rate (USD)"/>
    <tableColumn id="3" name="Note"/>
  </tableColumns>
  <tableStyleInfo name="TableStyleLight9" showRowStripes="1"/>
</table>
</file>

<file path=xl/tables/table11.xml><?xml version="1.0" encoding="utf-8"?>
<table xmlns="http://schemas.openxmlformats.org/spreadsheetml/2006/main" id="11" name="tblOtherCosts" displayName="tblOtherCosts" ref="A4:F7" headerRowCount="1">
  <autoFilter ref="A4:F7"/>
  <tableColumns count="6">
    <tableColumn id="1" name="#"/>
    <tableColumn id="2" name="Item"/>
    <tableColumn id="3" name="Amount (USD)"/>
    <tableColumn id="4" name="Cited from"/>
    <tableColumn id="5" name="Note"/>
    <tableColumn id="6" name="Epic"/>
  </tableColumns>
  <tableStyleInfo name="TableStyleLight9" showRowStripes="1"/>
</table>
</file>

<file path=xl/tables/table12.xml><?xml version="1.0" encoding="utf-8"?>
<table xmlns="http://schemas.openxmlformats.org/spreadsheetml/2006/main" id="12" name="tblRunCosts" displayName="tblRunCosts" ref="A4:E7" headerRowCount="1">
  <autoFilter ref="A4:E7"/>
  <tableColumns count="5">
    <tableColumn id="1" name="#"/>
    <tableColumn id="2" name="Item"/>
    <tableColumn id="3" name="Annual cost (USD)"/>
    <tableColumn id="4" name="Cited from"/>
    <tableColumn id="5" name="Note"/>
  </tableColumns>
  <tableStyleInfo name="TableStyleLight9" showRowStripes="1"/>
</table>
</file>

<file path=xl/tables/table13.xml><?xml version="1.0" encoding="utf-8"?>
<table xmlns="http://schemas.openxmlformats.org/spreadsheetml/2006/main" id="13" name="tblEnvShared" displayName="tblEnvShared" ref="A4:O11" headerRowCount="1">
  <autoFilter ref="A4:O11"/>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4.xml><?xml version="1.0" encoding="utf-8"?>
<table xmlns="http://schemas.openxmlformats.org/spreadsheetml/2006/main" id="14" name="tblEnvDev" displayName="tblEnvDev" ref="A4:O13" headerRowCount="1">
  <autoFilter ref="A4:O13"/>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ables/table15.xml><?xml version="1.0" encoding="utf-8"?>
<table xmlns="http://schemas.openxmlformats.org/spreadsheetml/2006/main" id="15" name="tblEnvProd" displayName="tblEnvProd" ref="A4:O13" headerRowCount="1">
  <autoFilter ref="A4:O13"/>
  <tableColumns count="15">
    <tableColumn id="1" name="#"/>
    <tableColumn id="2" name="Component"/>
    <tableColumn id="3" name="Azure service"/>
    <tableColumn id="4" name="SKU / tier"/>
    <tableColumn id="5" name="Unit"/>
    <tableColumn id="6" name="Unit price (USD)"/>
    <tableColumn id="7" name="Quantity"/>
    <tableColumn id="8" name="Usage per month"/>
    <tableColumn id="9" name="Monthly cost (USD)"/>
    <tableColumn id="10" name="Daily cost (USD)"/>
    <tableColumn id="11" name="Annual cost (USD)"/>
    <tableColumn id="12" name="Cited from"/>
    <tableColumn id="13" name="Price source"/>
    <tableColumn id="14" name="Note"/>
    <tableColumn id="15" name="Environment"/>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s>
</file>

<file path=xl/worksheets/_rels/sheet2.xml.rels><Relationships xmlns="http://schemas.openxmlformats.org/package/2006/relationships"><Relationship Type="http://schemas.openxmlformats.org/officeDocument/2006/relationships/table" Target="/xl/tables/table5.xml" Id="rId1" /></Relationships>
</file>

<file path=xl/worksheets/_rels/sheet3.xml.rels><Relationships xmlns="http://schemas.openxmlformats.org/package/2006/relationships"><Relationship Type="http://schemas.openxmlformats.org/officeDocument/2006/relationships/table" Target="/xl/tables/table6.xml" Id="rId1" /></Relationships>
</file>

<file path=xl/worksheets/_rels/sheet4.xml.rels><Relationships xmlns="http://schemas.openxmlformats.org/package/2006/relationships"><Relationship Type="http://schemas.openxmlformats.org/officeDocument/2006/relationships/table" Target="/xl/tables/table7.xml" Id="rId1" /></Relationships>
</file>

<file path=xl/worksheets/_rels/sheet5.xml.rels><Relationships xmlns="http://schemas.openxmlformats.org/package/2006/relationships"><Relationship Type="http://schemas.openxmlformats.org/officeDocument/2006/relationships/table" Target="/xl/tables/table8.xml" Id="rId1" /></Relationships>
</file>

<file path=xl/worksheets/_rels/sheet6.xml.rels><Relationships xmlns="http://schemas.openxmlformats.org/package/2006/relationships"><Relationship Type="http://schemas.openxmlformats.org/officeDocument/2006/relationships/table" Target="/xl/tables/table9.xml" Id="rId1" /></Relationships>
</file>

<file path=xl/worksheets/_rels/sheet7.xml.rels><Relationships xmlns="http://schemas.openxmlformats.org/package/2006/relationships"><Relationship Type="http://schemas.openxmlformats.org/officeDocument/2006/relationships/table" Target="/xl/tables/table10.xml" Id="rId1" /></Relationships>
</file>

<file path=xl/worksheets/_rels/sheet8.xml.rels><Relationships xmlns="http://schemas.openxmlformats.org/package/2006/relationships"><Relationship Type="http://schemas.openxmlformats.org/officeDocument/2006/relationships/table" Target="/xl/tables/table11.xml" Id="rId1" /></Relationships>
</file>

<file path=xl/worksheets/_rels/sheet9.xml.rels><Relationships xmlns="http://schemas.openxmlformats.org/package/2006/relationships"><Relationship Type="http://schemas.openxmlformats.org/officeDocument/2006/relationships/table" Target="/xl/tables/table12.xml" Id="rId1" /></Relationships>
</file>

<file path=xl/worksheets/_rels/sheet10.xml.rels><Relationships xmlns="http://schemas.openxmlformats.org/package/2006/relationships"><Relationship Type="http://schemas.openxmlformats.org/officeDocument/2006/relationships/table" Target="/xl/tables/table13.xml" Id="rId1" /></Relationships>
</file>

<file path=xl/worksheets/_rels/sheet11.xml.rels><Relationships xmlns="http://schemas.openxmlformats.org/package/2006/relationships"><Relationship Type="http://schemas.openxmlformats.org/officeDocument/2006/relationships/table" Target="/xl/tables/table14.xml" Id="rId1" /></Relationships>
</file>

<file path=xl/worksheets/_rels/sheet12.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40" customWidth="1" min="1" max="1"/>
    <col width="16" customWidth="1" min="2" max="2"/>
    <col width="14" customWidth="1" min="3" max="3"/>
    <col width="18" customWidth="1" min="4" max="4"/>
    <col width="14" customWidth="1" min="5" max="5"/>
    <col width="18" customWidth="1" min="6" max="6"/>
    <col width="20" customWidth="1" min="7" max="7"/>
    <col width="18" customWidth="1" min="8" max="8"/>
    <col width="30" customWidth="1" min="9" max="9"/>
  </cols>
  <sheetData>
    <row r="1">
      <c r="A1" s="1" t="inlineStr">
        <is>
          <t>OCR Invoice Automation PoC: build and 5-year run</t>
        </is>
      </c>
    </row>
    <row r="2">
      <c r="A2" t="inlineStr">
        <is>
          <t>All costs in USD. Cloud: Azure retail list prices in southeastasia fetched 2026-09-28, no discounts or reservations. Blue cells are inputs; black cells are formulas; green cells link to other sheets.</t>
        </is>
      </c>
    </row>
    <row r="3">
      <c r="A3" s="2" t="inlineStr">
        <is>
          <t>Inputs</t>
        </is>
      </c>
    </row>
    <row r="4">
      <c r="A4" s="3" t="inlineStr">
        <is>
          <t>Input</t>
        </is>
      </c>
      <c r="B4" s="3" t="inlineStr">
        <is>
          <t>Value</t>
        </is>
      </c>
    </row>
    <row r="5">
      <c r="A5" t="inlineStr">
        <is>
          <t>Days of delivery (working days)</t>
        </is>
      </c>
      <c r="B5" s="4" t="n">
        <v>32</v>
      </c>
    </row>
    <row r="6">
      <c r="A6" t="inlineStr">
        <is>
          <t>Working days per month</t>
        </is>
      </c>
      <c r="B6" s="4" t="n">
        <v>21</v>
      </c>
    </row>
    <row r="7">
      <c r="A7" t="inlineStr">
        <is>
          <t>Months of delivery</t>
        </is>
      </c>
      <c r="B7" s="5">
        <f>DeliveryDays/WorkingDaysPerMonth</f>
        <v/>
      </c>
    </row>
    <row r="8">
      <c r="A8" t="inlineStr">
        <is>
          <t>Hours per month (always-on services)</t>
        </is>
      </c>
      <c r="B8" s="4" t="n">
        <v>730</v>
      </c>
    </row>
    <row r="9">
      <c r="A9" t="inlineStr">
        <is>
          <t>Delivery start date (optional; dates the epics and sprints)</t>
        </is>
      </c>
      <c r="B9" s="6" t="n"/>
    </row>
    <row r="10">
      <c r="A10" t="inlineStr">
        <is>
          <t>Working days per sprint</t>
        </is>
      </c>
      <c r="B10" s="7" t="n">
        <v>10</v>
      </c>
    </row>
    <row r="11">
      <c r="A11" t="inlineStr">
        <is>
          <t>Years of run after go-live (3 to 5)</t>
        </is>
      </c>
      <c r="B11" s="7" t="n">
        <v>5</v>
      </c>
    </row>
    <row r="12">
      <c r="A12" t="inlineStr">
        <is>
          <t>Yearly increase in run costs</t>
        </is>
      </c>
      <c r="B12" s="8" t="n">
        <v>0</v>
      </c>
    </row>
    <row r="13">
      <c r="A13" t="inlineStr">
        <is>
          <t>Run years, with the yearly increase</t>
        </is>
      </c>
      <c r="B13" s="9">
        <f>IF(CostEscalation=0,HorizonYears,((1+CostEscalation)^HorizonYears-1)/CostEscalation)</f>
        <v/>
      </c>
    </row>
    <row r="14">
      <c r="A14" t="inlineStr">
        <is>
          <t>Contingency</t>
        </is>
      </c>
      <c r="B14" s="10" t="n">
        <v>0</v>
      </c>
    </row>
    <row r="15">
      <c r="A15" t="inlineStr">
        <is>
          <t>Exchange rate (1 USD = x USD)</t>
        </is>
      </c>
      <c r="B15" s="11" t="n">
        <v>1</v>
      </c>
    </row>
    <row r="17">
      <c r="A17" s="2" t="inlineStr">
        <is>
          <t>Delivery team (build)</t>
        </is>
      </c>
    </row>
    <row r="18">
      <c r="A18" s="3" t="inlineStr">
        <is>
          <t>Role</t>
        </is>
      </c>
      <c r="B18" s="3" t="inlineStr">
        <is>
          <t>Day rate (USD)</t>
        </is>
      </c>
      <c r="C18" s="3" t="inlineStr">
        <is>
          <t>Employees</t>
        </is>
      </c>
      <c r="D18" s="3" t="inlineStr">
        <is>
          <t>Days on delivery</t>
        </is>
      </c>
      <c r="E18" s="3" t="inlineStr">
        <is>
          <t>Allocation</t>
        </is>
      </c>
      <c r="F18" s="3" t="inlineStr">
        <is>
          <t>Mandays</t>
        </is>
      </c>
      <c r="G18" s="3" t="inlineStr">
        <is>
          <t>Cost (USD)</t>
        </is>
      </c>
      <c r="H18" s="3" t="inlineStr">
        <is>
          <t>Cited from</t>
        </is>
      </c>
    </row>
    <row r="19">
      <c r="A19" t="inlineStr">
        <is>
          <t>Team member (blended)</t>
        </is>
      </c>
      <c r="B19" s="12">
        <f>VLOOKUP(A19,'Rate Card'!$A$5:$B$50,2,FALSE)</f>
        <v/>
      </c>
      <c r="C19" s="4" t="n">
        <v>2</v>
      </c>
      <c r="D19" s="13">
        <f>DeliveryDays</f>
        <v/>
      </c>
      <c r="E19" s="10" t="n">
        <v>1</v>
      </c>
      <c r="F19" s="13">
        <f>C19*D19*E19</f>
        <v/>
      </c>
      <c r="G19" s="14">
        <f>F19*B19</f>
        <v/>
      </c>
      <c r="H19" t="inlineStr">
        <is>
          <t>assumption: 2 people for 32 days (30 stories at ~1 story/day, AI-assisted, plus 2 days slack); Dj to confirm</t>
        </is>
      </c>
    </row>
    <row r="20">
      <c r="B20" s="12">
        <f>IF(A20="","",VLOOKUP(A20,'Rate Card'!$A$5:$B$50,2,FALSE))</f>
        <v/>
      </c>
      <c r="C20" s="15" t="n"/>
      <c r="D20" s="15" t="n"/>
      <c r="E20" s="10" t="n"/>
      <c r="F20" s="13">
        <f>IF(A20="","",C20*D20*E20)</f>
        <v/>
      </c>
      <c r="G20" s="14">
        <f>IF(A20="","",F20*B20)</f>
        <v/>
      </c>
    </row>
    <row r="21">
      <c r="B21" s="12">
        <f>IF(A21="","",VLOOKUP(A21,'Rate Card'!$A$5:$B$50,2,FALSE))</f>
        <v/>
      </c>
      <c r="C21" s="15" t="n"/>
      <c r="D21" s="15" t="n"/>
      <c r="E21" s="10" t="n"/>
      <c r="F21" s="13">
        <f>IF(A21="","",C21*D21*E21)</f>
        <v/>
      </c>
      <c r="G21" s="14">
        <f>IF(A21="","",F21*B21)</f>
        <v/>
      </c>
    </row>
    <row r="22">
      <c r="B22" s="12">
        <f>IF(A22="","",VLOOKUP(A22,'Rate Card'!$A$5:$B$50,2,FALSE))</f>
        <v/>
      </c>
      <c r="C22" s="15" t="n"/>
      <c r="D22" s="15" t="n"/>
      <c r="E22" s="10" t="n"/>
      <c r="F22" s="13">
        <f>IF(A22="","",C22*D22*E22)</f>
        <v/>
      </c>
      <c r="G22" s="14">
        <f>IF(A22="","",F22*B22)</f>
        <v/>
      </c>
    </row>
    <row r="23">
      <c r="A23" s="16" t="inlineStr">
        <is>
          <t>Total</t>
        </is>
      </c>
      <c r="B23" s="16" t="n"/>
      <c r="C23" s="17">
        <f>SUM(C19:C22)</f>
        <v/>
      </c>
      <c r="D23" s="16" t="n"/>
      <c r="E23" s="16" t="n"/>
      <c r="F23" s="17">
        <f>SUM(F19:F22)</f>
        <v/>
      </c>
      <c r="G23" s="18">
        <f>SUM(G19:G22)</f>
        <v/>
      </c>
      <c r="H23" s="16" t="n"/>
    </row>
    <row r="25">
      <c r="A25" s="2" t="inlineStr">
        <is>
          <t>Run support (OPEX): IT support and maintenance after go-live</t>
        </is>
      </c>
    </row>
    <row r="26">
      <c r="A26" s="3" t="inlineStr">
        <is>
          <t>Role</t>
        </is>
      </c>
      <c r="B26" s="3" t="inlineStr">
        <is>
          <t>Day rate (USD)</t>
        </is>
      </c>
      <c r="C26" s="3" t="inlineStr">
        <is>
          <t>Mandays per year</t>
        </is>
      </c>
      <c r="D26" s="3" t="inlineStr">
        <is>
          <t>Cost per year (USD)</t>
        </is>
      </c>
      <c r="E26" s="3" t="inlineStr">
        <is>
          <t>Cited from</t>
        </is>
      </c>
    </row>
    <row r="27">
      <c r="A27" t="inlineStr">
        <is>
          <t>Team member (blended)</t>
        </is>
      </c>
      <c r="B27" s="12">
        <f>VLOOKUP(A27,'Rate Card'!$A$5:$B$50,2,FALSE)</f>
        <v/>
      </c>
      <c r="C27" s="4" t="n">
        <v>12</v>
      </c>
      <c r="D27" s="14">
        <f>C27*B27</f>
        <v/>
      </c>
      <c r="E27" t="inlineStr">
        <is>
          <t>assumption: 1 day a month for patching, dependency upgrades, DB start/stop and alert triage; Dj to confirm</t>
        </is>
      </c>
    </row>
    <row r="28">
      <c r="B28" s="12">
        <f>IF(A28="","",VLOOKUP(A28,'Rate Card'!$A$5:$B$50,2,FALSE))</f>
        <v/>
      </c>
      <c r="C28" s="15" t="n"/>
      <c r="D28" s="14">
        <f>IF(A28="","",C28*B28)</f>
        <v/>
      </c>
    </row>
    <row r="29">
      <c r="B29" s="12">
        <f>IF(A29="","",VLOOKUP(A29,'Rate Card'!$A$5:$B$50,2,FALSE))</f>
        <v/>
      </c>
      <c r="C29" s="15" t="n"/>
      <c r="D29" s="14">
        <f>IF(A29="","",C29*B29)</f>
        <v/>
      </c>
    </row>
    <row r="30">
      <c r="B30" s="12">
        <f>IF(A30="","",VLOOKUP(A30,'Rate Card'!$A$5:$B$50,2,FALSE))</f>
        <v/>
      </c>
      <c r="C30" s="15" t="n"/>
      <c r="D30" s="14">
        <f>IF(A30="","",C30*B30)</f>
        <v/>
      </c>
    </row>
    <row r="31">
      <c r="A31" s="16" t="inlineStr">
        <is>
          <t>Total</t>
        </is>
      </c>
      <c r="B31" s="16" t="n"/>
      <c r="C31" s="17">
        <f>SUM(C27:C30)</f>
        <v/>
      </c>
      <c r="D31" s="18">
        <f>SUM(D27:D30)</f>
        <v/>
      </c>
      <c r="E31" s="16" t="n"/>
    </row>
    <row r="33">
      <c r="A33" s="2" t="inlineStr">
        <is>
          <t>Cost summary</t>
        </is>
      </c>
    </row>
    <row r="34">
      <c r="A34" s="3" t="inlineStr">
        <is>
          <t>Item</t>
        </is>
      </c>
      <c r="B34" s="3" t="inlineStr">
        <is>
          <t>Monthly (USD)</t>
        </is>
      </c>
      <c r="C34" s="3" t="inlineStr">
        <is>
          <t>Months in delivery</t>
        </is>
      </c>
      <c r="D34" s="3" t="inlineStr">
        <is>
          <t>Delivery cost (USD)</t>
        </is>
      </c>
      <c r="E34" s="3" t="inlineStr">
        <is>
          <t>Run months per year</t>
        </is>
      </c>
      <c r="F34" s="3" t="inlineStr">
        <is>
          <t>Run cost per year (USD)</t>
        </is>
      </c>
      <c r="G34" s="3" t="inlineStr">
        <is>
          <t>Run cost over the horizon (USD)</t>
        </is>
      </c>
      <c r="H34" s="3" t="inlineStr">
        <is>
          <t>Total (USD)</t>
        </is>
      </c>
      <c r="I34" s="3" t="inlineStr">
        <is>
          <t>From</t>
        </is>
      </c>
    </row>
    <row r="35">
      <c r="A35" t="inlineStr">
        <is>
          <t>Shared environment</t>
        </is>
      </c>
      <c r="B35" s="12">
        <f>'Shared'!$I$12</f>
        <v/>
      </c>
      <c r="C35" s="5">
        <f>DeliveryMonths</f>
        <v/>
      </c>
      <c r="D35" s="14">
        <f>B35*C35</f>
        <v/>
      </c>
      <c r="E35" s="19" t="n">
        <v>12</v>
      </c>
      <c r="F35" s="14">
        <f>B35*E35</f>
        <v/>
      </c>
      <c r="G35" s="14">
        <f>F35*HorizonFactor</f>
        <v/>
      </c>
      <c r="H35" s="14">
        <f>D35+G35</f>
        <v/>
      </c>
      <c r="I35" t="inlineStr">
        <is>
          <t>Shared sheet</t>
        </is>
      </c>
    </row>
    <row r="36">
      <c r="A36" t="inlineStr">
        <is>
          <t>Dev environment</t>
        </is>
      </c>
      <c r="B36" s="12">
        <f>'Dev'!$I$14</f>
        <v/>
      </c>
      <c r="C36" s="5">
        <f>DeliveryMonths</f>
        <v/>
      </c>
      <c r="D36" s="14">
        <f>B36*C36</f>
        <v/>
      </c>
      <c r="E36" s="19" t="n">
        <v>12</v>
      </c>
      <c r="F36" s="14">
        <f>B36*E36</f>
        <v/>
      </c>
      <c r="G36" s="14">
        <f>F36*HorizonFactor</f>
        <v/>
      </c>
      <c r="H36" s="14">
        <f>D36+G36</f>
        <v/>
      </c>
      <c r="I36" t="inlineStr">
        <is>
          <t>Dev sheet</t>
        </is>
      </c>
    </row>
    <row r="37">
      <c r="A37" t="inlineStr">
        <is>
          <t>Prod environment</t>
        </is>
      </c>
      <c r="B37" s="12">
        <f>'Prod'!$I$14</f>
        <v/>
      </c>
      <c r="C37" s="5">
        <f>DeliveryMonths</f>
        <v/>
      </c>
      <c r="D37" s="14">
        <f>B37*C37</f>
        <v/>
      </c>
      <c r="E37" s="19" t="n">
        <v>12</v>
      </c>
      <c r="F37" s="14">
        <f>B37*E37</f>
        <v/>
      </c>
      <c r="G37" s="14">
        <f>F37*HorizonFactor</f>
        <v/>
      </c>
      <c r="H37" s="14">
        <f>D37+G37</f>
        <v/>
      </c>
      <c r="I37" t="inlineStr">
        <is>
          <t>Prod sheet</t>
        </is>
      </c>
    </row>
    <row r="38">
      <c r="A38" t="inlineStr">
        <is>
          <t>Delivery team</t>
        </is>
      </c>
      <c r="D38" s="12">
        <f>G23</f>
        <v/>
      </c>
      <c r="H38" s="14">
        <f>D38+G38</f>
        <v/>
      </c>
      <c r="I38" t="inlineStr">
        <is>
          <t>Delivery team table above</t>
        </is>
      </c>
    </row>
    <row r="39">
      <c r="A39" t="inlineStr">
        <is>
          <t>Run support (OPEX)</t>
        </is>
      </c>
      <c r="F39" s="12">
        <f>D31</f>
        <v/>
      </c>
      <c r="G39" s="14">
        <f>F39*HorizonFactor</f>
        <v/>
      </c>
      <c r="H39" s="14">
        <f>D39+G39</f>
        <v/>
      </c>
      <c r="I39" t="inlineStr">
        <is>
          <t>Run support table above</t>
        </is>
      </c>
    </row>
    <row r="40">
      <c r="A40" t="inlineStr">
        <is>
          <t>Recurring run costs</t>
        </is>
      </c>
      <c r="F40" s="12">
        <f>'Run Costs'!$C$8</f>
        <v/>
      </c>
      <c r="G40" s="14">
        <f>F40*HorizonFactor</f>
        <v/>
      </c>
      <c r="H40" s="14">
        <f>D40+G40</f>
        <v/>
      </c>
      <c r="I40" t="inlineStr">
        <is>
          <t>Run Costs sheet</t>
        </is>
      </c>
    </row>
    <row r="41">
      <c r="A41" t="inlineStr">
        <is>
          <t>Other one-off costs</t>
        </is>
      </c>
      <c r="D41" s="12">
        <f>'Other Costs'!$C$8</f>
        <v/>
      </c>
      <c r="H41" s="14">
        <f>D41+G41</f>
        <v/>
      </c>
      <c r="I41" t="inlineStr">
        <is>
          <t>Other Costs sheet</t>
        </is>
      </c>
    </row>
    <row r="42">
      <c r="A42" s="16" t="inlineStr">
        <is>
          <t>Subtotal</t>
        </is>
      </c>
      <c r="B42" s="16" t="n"/>
      <c r="C42" s="16" t="n"/>
      <c r="D42" s="18">
        <f>SUM(D35:D41)</f>
        <v/>
      </c>
      <c r="E42" s="16" t="n"/>
      <c r="F42" s="18">
        <f>SUM(F35:F41)</f>
        <v/>
      </c>
      <c r="G42" s="18">
        <f>SUM(G35:G41)</f>
        <v/>
      </c>
      <c r="H42" s="18">
        <f>SUM(H35:H41)</f>
        <v/>
      </c>
      <c r="I42" s="16" t="n"/>
    </row>
    <row r="43">
      <c r="A43" t="inlineStr">
        <is>
          <t>Contingency</t>
        </is>
      </c>
      <c r="D43" s="14">
        <f>D42*Contingency</f>
        <v/>
      </c>
      <c r="F43" s="14">
        <f>F42*Contingency</f>
        <v/>
      </c>
      <c r="G43" s="14">
        <f>G42*Contingency</f>
        <v/>
      </c>
      <c r="H43" s="14">
        <f>D43+G43</f>
        <v/>
      </c>
    </row>
    <row r="44">
      <c r="A44" s="20" t="inlineStr">
        <is>
          <t>Grand total</t>
        </is>
      </c>
      <c r="B44" s="16" t="n"/>
      <c r="C44" s="16" t="n"/>
      <c r="D44" s="21">
        <f>D42+D43</f>
        <v/>
      </c>
      <c r="E44" s="16" t="n"/>
      <c r="F44" s="21">
        <f>F42+F43</f>
        <v/>
      </c>
      <c r="G44" s="21">
        <f>G42+G43</f>
        <v/>
      </c>
      <c r="H44" s="21">
        <f>H42+H43</f>
        <v/>
      </c>
      <c r="I44" s="16" t="n"/>
    </row>
  </sheetData>
  <dataValidations count="1">
    <dataValidation sqref="B11" showDropDown="0" showInputMessage="0" showErrorMessage="1" allowBlank="0" error="3 to 5 years" type="whole" operator="between">
      <formula1>3</formula1>
      <formula2>5</formula2>
    </dataValidation>
  </dataValidation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I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58" customWidth="1" min="2" max="2"/>
    <col width="16" customWidth="1" min="3" max="3"/>
    <col width="16" customWidth="1" min="4" max="4"/>
    <col width="16" customWidth="1" min="5" max="5"/>
    <col width="16" customWidth="1" min="6" max="6"/>
    <col width="16" customWidth="1" min="7" max="7"/>
    <col width="16" customWidth="1" min="8" max="8"/>
    <col width="18" customWidth="1" min="9" max="9"/>
  </cols>
  <sheetData>
    <row r="1">
      <c r="A1" s="1" t="inlineStr">
        <is>
          <t>Multi-year view</t>
        </is>
      </c>
    </row>
    <row r="2">
      <c r="A2" t="inlineStr">
        <is>
          <t>In USD. Build is the delivery; each year after go-live carries the run costs, raised by the yearly increase, and the revenue given for it. Years past the horizon (Overall input) show zero. Contingency applies to every cost.</t>
        </is>
      </c>
    </row>
    <row r="4">
      <c r="A4" s="3" t="inlineStr">
        <is>
          <t>Category</t>
        </is>
      </c>
      <c r="B4" s="3" t="inlineStr">
        <is>
          <t>Item</t>
        </is>
      </c>
      <c r="C4" s="3" t="inlineStr">
        <is>
          <t>Build</t>
        </is>
      </c>
      <c r="D4" s="3" t="inlineStr">
        <is>
          <t>Year 1</t>
        </is>
      </c>
      <c r="E4" s="3" t="inlineStr">
        <is>
          <t>Year 2</t>
        </is>
      </c>
      <c r="F4" s="3" t="inlineStr">
        <is>
          <t>Year 3</t>
        </is>
      </c>
      <c r="G4" s="3" t="inlineStr">
        <is>
          <t>Year 4</t>
        </is>
      </c>
      <c r="H4" s="3" t="inlineStr">
        <is>
          <t>Year 5</t>
        </is>
      </c>
      <c r="I4" s="3" t="inlineStr">
        <is>
          <t>Total</t>
        </is>
      </c>
    </row>
    <row r="5">
      <c r="A5" t="inlineStr">
        <is>
          <t>Revenue</t>
        </is>
      </c>
      <c r="B5" s="22">
        <f>IF('Revenue'!$B$5="","(spare revenue row)",'Revenue'!$B$5)</f>
        <v/>
      </c>
      <c r="C5" s="14" t="n">
        <v>0</v>
      </c>
      <c r="D5" s="14">
        <f>IF(1&lt;=HorizonYears,'Revenue'!D$5,0)</f>
        <v/>
      </c>
      <c r="E5" s="14">
        <f>IF(2&lt;=HorizonYears,'Revenue'!E$5,0)</f>
        <v/>
      </c>
      <c r="F5" s="14">
        <f>IF(3&lt;=HorizonYears,'Revenue'!F$5,0)</f>
        <v/>
      </c>
      <c r="G5" s="14">
        <f>IF(4&lt;=HorizonYears,'Revenue'!G$5,0)</f>
        <v/>
      </c>
      <c r="H5" s="14">
        <f>IF(5&lt;=HorizonYears,'Revenue'!H$5,0)</f>
        <v/>
      </c>
      <c r="I5" s="14">
        <f>SUM(C5:H5)</f>
        <v/>
      </c>
    </row>
    <row r="6">
      <c r="A6" t="inlineStr">
        <is>
          <t>Revenue</t>
        </is>
      </c>
      <c r="B6" s="22">
        <f>IF('Revenue'!$B$6="","(spare revenue row)",'Revenue'!$B$6)</f>
        <v/>
      </c>
      <c r="C6" s="14" t="n">
        <v>0</v>
      </c>
      <c r="D6" s="14">
        <f>IF(1&lt;=HorizonYears,'Revenue'!D$6,0)</f>
        <v/>
      </c>
      <c r="E6" s="14">
        <f>IF(2&lt;=HorizonYears,'Revenue'!E$6,0)</f>
        <v/>
      </c>
      <c r="F6" s="14">
        <f>IF(3&lt;=HorizonYears,'Revenue'!F$6,0)</f>
        <v/>
      </c>
      <c r="G6" s="14">
        <f>IF(4&lt;=HorizonYears,'Revenue'!G$6,0)</f>
        <v/>
      </c>
      <c r="H6" s="14">
        <f>IF(5&lt;=HorizonYears,'Revenue'!H$6,0)</f>
        <v/>
      </c>
      <c r="I6" s="14">
        <f>SUM(C6:H6)</f>
        <v/>
      </c>
    </row>
    <row r="7">
      <c r="A7" t="inlineStr">
        <is>
          <t>Revenue</t>
        </is>
      </c>
      <c r="B7" s="22">
        <f>IF('Revenue'!$B$7="","(spare revenue row)",'Revenue'!$B$7)</f>
        <v/>
      </c>
      <c r="C7" s="14" t="n">
        <v>0</v>
      </c>
      <c r="D7" s="14">
        <f>IF(1&lt;=HorizonYears,'Revenue'!D$7,0)</f>
        <v/>
      </c>
      <c r="E7" s="14">
        <f>IF(2&lt;=HorizonYears,'Revenue'!E$7,0)</f>
        <v/>
      </c>
      <c r="F7" s="14">
        <f>IF(3&lt;=HorizonYears,'Revenue'!F$7,0)</f>
        <v/>
      </c>
      <c r="G7" s="14">
        <f>IF(4&lt;=HorizonYears,'Revenue'!G$7,0)</f>
        <v/>
      </c>
      <c r="H7" s="14">
        <f>IF(5&lt;=HorizonYears,'Revenue'!H$7,0)</f>
        <v/>
      </c>
      <c r="I7" s="14">
        <f>SUM(C7:H7)</f>
        <v/>
      </c>
    </row>
    <row r="8">
      <c r="A8" t="inlineStr">
        <is>
          <t>Cost</t>
        </is>
      </c>
      <c r="B8" t="inlineStr">
        <is>
          <t>Build: delivery team, environments during delivery, one-off costs</t>
        </is>
      </c>
      <c r="C8" s="12">
        <f>'Overall'!$D$42</f>
        <v/>
      </c>
      <c r="D8" s="14" t="n">
        <v>0</v>
      </c>
      <c r="E8" s="14" t="n">
        <v>0</v>
      </c>
      <c r="F8" s="14" t="n">
        <v>0</v>
      </c>
      <c r="G8" s="14" t="n">
        <v>0</v>
      </c>
      <c r="H8" s="14" t="n">
        <v>0</v>
      </c>
      <c r="I8" s="14">
        <f>SUM(C8:H8)</f>
        <v/>
      </c>
    </row>
    <row r="9">
      <c r="A9" t="inlineStr">
        <is>
          <t>Cost</t>
        </is>
      </c>
      <c r="B9" t="inlineStr">
        <is>
          <t>Shared environment (run)</t>
        </is>
      </c>
      <c r="C9" s="14" t="n">
        <v>0</v>
      </c>
      <c r="D9" s="14">
        <f>IF(1&lt;=HorizonYears,'Overall'!$F$35*(1+CostEscalation)^0,0)</f>
        <v/>
      </c>
      <c r="E9" s="14">
        <f>IF(2&lt;=HorizonYears,'Overall'!$F$35*(1+CostEscalation)^1,0)</f>
        <v/>
      </c>
      <c r="F9" s="14">
        <f>IF(3&lt;=HorizonYears,'Overall'!$F$35*(1+CostEscalation)^2,0)</f>
        <v/>
      </c>
      <c r="G9" s="14">
        <f>IF(4&lt;=HorizonYears,'Overall'!$F$35*(1+CostEscalation)^3,0)</f>
        <v/>
      </c>
      <c r="H9" s="14">
        <f>IF(5&lt;=HorizonYears,'Overall'!$F$35*(1+CostEscalation)^4,0)</f>
        <v/>
      </c>
      <c r="I9" s="14">
        <f>SUM(C9:H9)</f>
        <v/>
      </c>
    </row>
    <row r="10">
      <c r="A10" t="inlineStr">
        <is>
          <t>Cost</t>
        </is>
      </c>
      <c r="B10" t="inlineStr">
        <is>
          <t>Dev environment (run)</t>
        </is>
      </c>
      <c r="C10" s="14" t="n">
        <v>0</v>
      </c>
      <c r="D10" s="14">
        <f>IF(1&lt;=HorizonYears,'Overall'!$F$36*(1+CostEscalation)^0,0)</f>
        <v/>
      </c>
      <c r="E10" s="14">
        <f>IF(2&lt;=HorizonYears,'Overall'!$F$36*(1+CostEscalation)^1,0)</f>
        <v/>
      </c>
      <c r="F10" s="14">
        <f>IF(3&lt;=HorizonYears,'Overall'!$F$36*(1+CostEscalation)^2,0)</f>
        <v/>
      </c>
      <c r="G10" s="14">
        <f>IF(4&lt;=HorizonYears,'Overall'!$F$36*(1+CostEscalation)^3,0)</f>
        <v/>
      </c>
      <c r="H10" s="14">
        <f>IF(5&lt;=HorizonYears,'Overall'!$F$36*(1+CostEscalation)^4,0)</f>
        <v/>
      </c>
      <c r="I10" s="14">
        <f>SUM(C10:H10)</f>
        <v/>
      </c>
    </row>
    <row r="11">
      <c r="A11" t="inlineStr">
        <is>
          <t>Cost</t>
        </is>
      </c>
      <c r="B11" t="inlineStr">
        <is>
          <t>Prod environment (run)</t>
        </is>
      </c>
      <c r="C11" s="14" t="n">
        <v>0</v>
      </c>
      <c r="D11" s="14">
        <f>IF(1&lt;=HorizonYears,'Overall'!$F$37*(1+CostEscalation)^0,0)</f>
        <v/>
      </c>
      <c r="E11" s="14">
        <f>IF(2&lt;=HorizonYears,'Overall'!$F$37*(1+CostEscalation)^1,0)</f>
        <v/>
      </c>
      <c r="F11" s="14">
        <f>IF(3&lt;=HorizonYears,'Overall'!$F$37*(1+CostEscalation)^2,0)</f>
        <v/>
      </c>
      <c r="G11" s="14">
        <f>IF(4&lt;=HorizonYears,'Overall'!$F$37*(1+CostEscalation)^3,0)</f>
        <v/>
      </c>
      <c r="H11" s="14">
        <f>IF(5&lt;=HorizonYears,'Overall'!$F$37*(1+CostEscalation)^4,0)</f>
        <v/>
      </c>
      <c r="I11" s="14">
        <f>SUM(C11:H11)</f>
        <v/>
      </c>
    </row>
    <row r="12">
      <c r="A12" t="inlineStr">
        <is>
          <t>Cost</t>
        </is>
      </c>
      <c r="B12" t="inlineStr">
        <is>
          <t>Run support (OPEX)</t>
        </is>
      </c>
      <c r="C12" s="14" t="n">
        <v>0</v>
      </c>
      <c r="D12" s="14">
        <f>IF(1&lt;=HorizonYears,'Overall'!$F$39*(1+CostEscalation)^0,0)</f>
        <v/>
      </c>
      <c r="E12" s="14">
        <f>IF(2&lt;=HorizonYears,'Overall'!$F$39*(1+CostEscalation)^1,0)</f>
        <v/>
      </c>
      <c r="F12" s="14">
        <f>IF(3&lt;=HorizonYears,'Overall'!$F$39*(1+CostEscalation)^2,0)</f>
        <v/>
      </c>
      <c r="G12" s="14">
        <f>IF(4&lt;=HorizonYears,'Overall'!$F$39*(1+CostEscalation)^3,0)</f>
        <v/>
      </c>
      <c r="H12" s="14">
        <f>IF(5&lt;=HorizonYears,'Overall'!$F$39*(1+CostEscalation)^4,0)</f>
        <v/>
      </c>
      <c r="I12" s="14">
        <f>SUM(C12:H12)</f>
        <v/>
      </c>
    </row>
    <row r="13">
      <c r="A13" t="inlineStr">
        <is>
          <t>Cost</t>
        </is>
      </c>
      <c r="B13" t="inlineStr">
        <is>
          <t>Recurring run costs</t>
        </is>
      </c>
      <c r="C13" s="14" t="n">
        <v>0</v>
      </c>
      <c r="D13" s="14">
        <f>IF(1&lt;=HorizonYears,'Overall'!$F$40*(1+CostEscalation)^0,0)</f>
        <v/>
      </c>
      <c r="E13" s="14">
        <f>IF(2&lt;=HorizonYears,'Overall'!$F$40*(1+CostEscalation)^1,0)</f>
        <v/>
      </c>
      <c r="F13" s="14">
        <f>IF(3&lt;=HorizonYears,'Overall'!$F$40*(1+CostEscalation)^2,0)</f>
        <v/>
      </c>
      <c r="G13" s="14">
        <f>IF(4&lt;=HorizonYears,'Overall'!$F$40*(1+CostEscalation)^3,0)</f>
        <v/>
      </c>
      <c r="H13" s="14">
        <f>IF(5&lt;=HorizonYears,'Overall'!$F$40*(1+CostEscalation)^4,0)</f>
        <v/>
      </c>
      <c r="I13" s="14">
        <f>SUM(C13:H13)</f>
        <v/>
      </c>
    </row>
    <row r="14">
      <c r="A14" t="inlineStr">
        <is>
          <t>Contingency</t>
        </is>
      </c>
      <c r="B14" t="inlineStr">
        <is>
          <t>Contingency on every cost</t>
        </is>
      </c>
      <c r="C14" s="14">
        <f>SUMIF($A$5:$A$13,"Cost",C5:C13)*Contingency</f>
        <v/>
      </c>
      <c r="D14" s="14">
        <f>SUMIF($A$5:$A$13,"Cost",D5:D13)*Contingency</f>
        <v/>
      </c>
      <c r="E14" s="14">
        <f>SUMIF($A$5:$A$13,"Cost",E5:E13)*Contingency</f>
        <v/>
      </c>
      <c r="F14" s="14">
        <f>SUMIF($A$5:$A$13,"Cost",F5:F13)*Contingency</f>
        <v/>
      </c>
      <c r="G14" s="14">
        <f>SUMIF($A$5:$A$13,"Cost",G5:G13)*Contingency</f>
        <v/>
      </c>
      <c r="H14" s="14">
        <f>SUMIF($A$5:$A$13,"Cost",H5:H13)*Contingency</f>
        <v/>
      </c>
      <c r="I14" s="14">
        <f>SUM(C14:H14)</f>
        <v/>
      </c>
    </row>
    <row r="15">
      <c r="A15" s="16" t="inlineStr">
        <is>
          <t>Total revenue</t>
        </is>
      </c>
      <c r="B15" s="16" t="n"/>
      <c r="C15" s="18">
        <f>SUMIF($A$5:$A$14,"Revenue",C5:C14)</f>
        <v/>
      </c>
      <c r="D15" s="18">
        <f>SUMIF($A$5:$A$14,"Revenue",D5:D14)</f>
        <v/>
      </c>
      <c r="E15" s="18">
        <f>SUMIF($A$5:$A$14,"Revenue",E5:E14)</f>
        <v/>
      </c>
      <c r="F15" s="18">
        <f>SUMIF($A$5:$A$14,"Revenue",F5:F14)</f>
        <v/>
      </c>
      <c r="G15" s="18">
        <f>SUMIF($A$5:$A$14,"Revenue",G5:G14)</f>
        <v/>
      </c>
      <c r="H15" s="18">
        <f>SUMIF($A$5:$A$14,"Revenue",H5:H14)</f>
        <v/>
      </c>
      <c r="I15" s="18">
        <f>SUMIF($A$5:$A$14,"Revenue",I5:I14)</f>
        <v/>
      </c>
    </row>
    <row r="16">
      <c r="A16" s="23" t="inlineStr">
        <is>
          <t>Total costs</t>
        </is>
      </c>
      <c r="C16" s="14">
        <f>SUMIF($A$5:$A$14,"Cost",C5:C14)+SUMIF($A$5:$A$14,"Contingency",C5:C14)</f>
        <v/>
      </c>
      <c r="D16" s="14">
        <f>SUMIF($A$5:$A$14,"Cost",D5:D14)+SUMIF($A$5:$A$14,"Contingency",D5:D14)</f>
        <v/>
      </c>
      <c r="E16" s="14">
        <f>SUMIF($A$5:$A$14,"Cost",E5:E14)+SUMIF($A$5:$A$14,"Contingency",E5:E14)</f>
        <v/>
      </c>
      <c r="F16" s="14">
        <f>SUMIF($A$5:$A$14,"Cost",F5:F14)+SUMIF($A$5:$A$14,"Contingency",F5:F14)</f>
        <v/>
      </c>
      <c r="G16" s="14">
        <f>SUMIF($A$5:$A$14,"Cost",G5:G14)+SUMIF($A$5:$A$14,"Contingency",G5:G14)</f>
        <v/>
      </c>
      <c r="H16" s="14">
        <f>SUMIF($A$5:$A$14,"Cost",H5:H14)+SUMIF($A$5:$A$14,"Contingency",H5:H14)</f>
        <v/>
      </c>
      <c r="I16" s="14">
        <f>SUMIF($A$5:$A$14,"Cost",I5:I14)+SUMIF($A$5:$A$14,"Contingency",I5:I14)</f>
        <v/>
      </c>
    </row>
    <row r="17">
      <c r="A17" s="23" t="inlineStr">
        <is>
          <t>Net</t>
        </is>
      </c>
      <c r="C17" s="14">
        <f>C15-C16</f>
        <v/>
      </c>
      <c r="D17" s="14">
        <f>D15-D16</f>
        <v/>
      </c>
      <c r="E17" s="14">
        <f>E15-E16</f>
        <v/>
      </c>
      <c r="F17" s="14">
        <f>F15-F16</f>
        <v/>
      </c>
      <c r="G17" s="14">
        <f>G15-G16</f>
        <v/>
      </c>
      <c r="H17" s="14">
        <f>H15-H16</f>
        <v/>
      </c>
      <c r="I17" s="14">
        <f>I15-I16</f>
        <v/>
      </c>
    </row>
    <row r="18">
      <c r="A18" s="23" t="inlineStr">
        <is>
          <t>Cumulative net</t>
        </is>
      </c>
      <c r="C18" s="14">
        <f>C17</f>
        <v/>
      </c>
      <c r="D18" s="14">
        <f>C18+D17</f>
        <v/>
      </c>
      <c r="E18" s="14">
        <f>D18+E17</f>
        <v/>
      </c>
      <c r="F18" s="14">
        <f>E18+F17</f>
        <v/>
      </c>
      <c r="G18" s="14">
        <f>F18+G17</f>
        <v/>
      </c>
      <c r="H18" s="14">
        <f>G18+H17</f>
        <v/>
      </c>
      <c r="I18" s="14">
        <f>H18</f>
        <v/>
      </c>
    </row>
    <row r="20">
      <c r="A20" t="inlineStr">
        <is>
          <t>Payback</t>
        </is>
      </c>
      <c r="B20">
        <f>IF(C18&gt;=0,"Build",IF(D18&gt;=0,"Year 1",IF(E18&gt;=0,"Year 2",IF(F18&gt;=0,"Year 3",IF(G18&gt;=0,"Year 4",IF(H18&gt;=0,"Year 5","beyond the horizon"))))))</f>
        <v/>
      </c>
    </row>
    <row r="21">
      <c r="A21" t="inlineStr">
        <is>
          <t>Return on cost (net / costs)</t>
        </is>
      </c>
      <c r="B21" s="24">
        <f>IF(I16=0,"",I17/I16)</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40" customWidth="1" min="3" max="3"/>
    <col width="9" customWidth="1" min="4" max="4"/>
    <col width="9" customWidth="1" min="5" max="5"/>
    <col width="12" customWidth="1" min="6" max="6"/>
    <col width="12" customWidth="1" min="7" max="7"/>
    <col width="9" customWidth="1" min="8" max="8"/>
    <col width="11" customWidth="1" min="9" max="9"/>
    <col width="14" customWidth="1" min="10" max="10"/>
    <col width="13" customWidth="1" min="11" max="11"/>
    <col width="13" customWidth="1" min="12" max="12"/>
    <col width="13" customWidth="1" min="13" max="13"/>
    <col width="15" customWidth="1" min="14" max="14"/>
    <col width="12" customWidth="1" min="15" max="15"/>
    <col width="12" customWidth="1" min="16" max="16"/>
    <col width="9" customWidth="1" min="17" max="17"/>
    <col width="9" customWidth="1" min="18" max="18"/>
    <col width="9" customWidth="1" min="19" max="19"/>
    <col width="13" customWidth="1" min="20" max="20"/>
    <col width="15" customWidth="1" min="21" max="21"/>
    <col width="15" customWidth="1" min="22" max="22"/>
    <col width="14" customWidth="1" min="23" max="23"/>
    <col width="40" customWidth="1" min="24" max="24"/>
  </cols>
  <sheetData>
    <row r="1">
      <c r="A1" s="1" t="inlineStr">
        <is>
          <t>Epics: deliverables, forecast and actual</t>
        </is>
      </c>
    </row>
    <row r="2">
      <c r="A2" t="inlineStr">
        <is>
          <t>In USD. Forecast: each epic takes a share of the build in proportion to its planned working days (that share of the delivery team and of the environments during delivery), plus the one-off costs tagged to it and its Claude API budget; dates run the epics one after another from the delivery start date. Actual: enter or keep the actual start and end dates; actual working days, the Claude API actual from the ledger, and team and infra scaled by actual / planned days (same team and rates) unless you enter the timesheet team cost. Blue cells are inputs; add an epic in a spare row.</t>
        </is>
      </c>
    </row>
    <row r="4">
      <c r="A4" s="3" t="inlineStr">
        <is>
          <t>Epic</t>
        </is>
      </c>
      <c r="B4" s="3" t="inlineStr">
        <is>
          <t>Name</t>
        </is>
      </c>
      <c r="C4" s="3" t="inlineStr">
        <is>
          <t>Deliverables</t>
        </is>
      </c>
      <c r="D4" s="3" t="inlineStr">
        <is>
          <t>Planned days</t>
        </is>
      </c>
      <c r="E4" s="3" t="inlineStr">
        <is>
          <t>Planned weeks</t>
        </is>
      </c>
      <c r="F4" s="3" t="inlineStr">
        <is>
          <t>Planned start</t>
        </is>
      </c>
      <c r="G4" s="3" t="inlineStr">
        <is>
          <t>Planned end</t>
        </is>
      </c>
      <c r="H4" s="3" t="inlineStr">
        <is>
          <t>Share of build</t>
        </is>
      </c>
      <c r="I4" s="3" t="inlineStr">
        <is>
          <t>Team mandays</t>
        </is>
      </c>
      <c r="J4" s="3" t="inlineStr">
        <is>
          <t>Team cost (USD)</t>
        </is>
      </c>
      <c r="K4" s="3" t="inlineStr">
        <is>
          <t>Infra cost (USD)</t>
        </is>
      </c>
      <c r="L4" s="3" t="inlineStr">
        <is>
          <t>Other costs (USD)</t>
        </is>
      </c>
      <c r="M4" s="3" t="inlineStr">
        <is>
          <t>Claude API budget (USD)</t>
        </is>
      </c>
      <c r="N4" s="3" t="inlineStr">
        <is>
          <t>Forecast total (USD)</t>
        </is>
      </c>
      <c r="O4" s="3" t="inlineStr">
        <is>
          <t>Actual start</t>
        </is>
      </c>
      <c r="P4" s="3" t="inlineStr">
        <is>
          <t>Actual end</t>
        </is>
      </c>
      <c r="Q4" s="3" t="inlineStr">
        <is>
          <t>Actual days</t>
        </is>
      </c>
      <c r="R4" s="3" t="inlineStr">
        <is>
          <t>Days variance</t>
        </is>
      </c>
      <c r="S4" s="3" t="inlineStr">
        <is>
          <t>Days variance %</t>
        </is>
      </c>
      <c r="T4" s="3" t="inlineStr">
        <is>
          <t>Claude API actual (USD)</t>
        </is>
      </c>
      <c r="U4" s="3" t="inlineStr">
        <is>
          <t>Actual team cost, timesheets (USD)</t>
        </is>
      </c>
      <c r="V4" s="3" t="inlineStr">
        <is>
          <t>Actual total (USD)</t>
        </is>
      </c>
      <c r="W4" s="3" t="inlineStr">
        <is>
          <t>Cost variance (USD)</t>
        </is>
      </c>
      <c r="X4" s="3" t="inlineStr">
        <is>
          <t>Cited from</t>
        </is>
      </c>
    </row>
    <row r="5">
      <c r="A5" s="7" t="n">
        <v>1</v>
      </c>
      <c r="B5" t="inlineStr">
        <is>
          <t>Suppliers can upload invoices by link</t>
        </is>
      </c>
      <c r="C5" s="25" t="inlineStr">
        <is>
          <t>Stories 1.1-1.9: Terraform, CI/CD, API and web skeletons, monitoring, supplier links, upload, device quality check</t>
        </is>
      </c>
      <c r="D5" s="4" t="n">
        <v>9</v>
      </c>
      <c r="E5" s="5">
        <f>IF(D5="","",D5/5)</f>
        <v/>
      </c>
      <c r="F5" s="26">
        <f>IF(OR(D5="",ProjectStart=""),"",ProjectStart)</f>
        <v/>
      </c>
      <c r="G5" s="26">
        <f>IF(F5="","",WORKDAY(F5,D5-1))</f>
        <v/>
      </c>
      <c r="H5" s="24">
        <f>IF(D5="","",D5/SUM($D$5:$D$12))</f>
        <v/>
      </c>
      <c r="I5" s="13">
        <f>IF(D5="","",H5*'Overall'!$F$23)</f>
        <v/>
      </c>
      <c r="J5" s="14">
        <f>IF(D5="","",H5*'Overall'!$G$23)</f>
        <v/>
      </c>
      <c r="K5" s="14">
        <f>IF(D5="","",H5*('Overall'!$D$35+'Overall'!$D$36+'Overall'!$D$37))</f>
        <v/>
      </c>
      <c r="L5" s="14">
        <f>IF(A5="","",SUMIFS('Other Costs'!$C$5:$C$7,'Other Costs'!$F$5:$F$7,A5))</f>
        <v/>
      </c>
      <c r="M5" s="27" t="n">
        <v>54</v>
      </c>
      <c r="N5" s="14">
        <f>IF(D5="","",J5+K5+L5+N(M5))</f>
        <v/>
      </c>
      <c r="O5" s="6" t="n"/>
      <c r="P5" s="6" t="n"/>
      <c r="Q5" s="13">
        <f>IF(OR(D5="",O5="",P5=""),"",NETWORKDAYS(O5,P5))</f>
        <v/>
      </c>
      <c r="R5" s="28">
        <f>IF(Q5="","",Q5-D5)</f>
        <v/>
      </c>
      <c r="S5" s="29">
        <f>IF(Q5="","",Q5/D5-1)</f>
        <v/>
      </c>
      <c r="U5" s="15" t="n"/>
      <c r="V5" s="14">
        <f>IF(Q5="","",IF(U5="",J5*Q5/D5,U5)+K5*Q5/D5+L5+N(T5))</f>
        <v/>
      </c>
      <c r="W5" s="30">
        <f>IF(V5="","",V5-N5)</f>
        <v/>
      </c>
      <c r="X5" s="25" t="inlineStr">
        <is>
          <t>_bmad-output/planning-artifacts/epics.md Epic 1: Suppliers can upload invoices by link</t>
        </is>
      </c>
    </row>
    <row r="6">
      <c r="A6" s="7" t="n">
        <v>2</v>
      </c>
      <c r="B6" t="inlineStr">
        <is>
          <t>Invoices are read and checked automatically</t>
        </is>
      </c>
      <c r="C6" s="25" t="inlineStr">
        <is>
          <t>Stories 2.1-2.11: quality stage, pipeline recovery, DI extraction, PO sim, validation, staff sign-in, admin queue</t>
        </is>
      </c>
      <c r="D6" s="4" t="n">
        <v>11</v>
      </c>
      <c r="E6" s="5">
        <f>IF(D6="","",D6/5)</f>
        <v/>
      </c>
      <c r="F6" s="26">
        <f>IF(OR(D6="",ProjectStart=""),"",WORKDAY(G5,1))</f>
        <v/>
      </c>
      <c r="G6" s="26">
        <f>IF(F6="","",WORKDAY(F6,D6-1))</f>
        <v/>
      </c>
      <c r="H6" s="24">
        <f>IF(D6="","",D6/SUM($D$5:$D$12))</f>
        <v/>
      </c>
      <c r="I6" s="13">
        <f>IF(D6="","",H6*'Overall'!$F$23)</f>
        <v/>
      </c>
      <c r="J6" s="14">
        <f>IF(D6="","",H6*'Overall'!$G$23)</f>
        <v/>
      </c>
      <c r="K6" s="14">
        <f>IF(D6="","",H6*('Overall'!$D$35+'Overall'!$D$36+'Overall'!$D$37))</f>
        <v/>
      </c>
      <c r="L6" s="14">
        <f>IF(A6="","",SUMIFS('Other Costs'!$C$5:$C$7,'Other Costs'!$F$5:$F$7,A6))</f>
        <v/>
      </c>
      <c r="M6" s="27" t="n">
        <v>66</v>
      </c>
      <c r="N6" s="14">
        <f>IF(D6="","",J6+K6+L6+N(M6))</f>
        <v/>
      </c>
      <c r="O6" s="6" t="n"/>
      <c r="P6" s="6" t="n"/>
      <c r="Q6" s="13">
        <f>IF(OR(D6="",O6="",P6=""),"",NETWORKDAYS(O6,P6))</f>
        <v/>
      </c>
      <c r="R6" s="28">
        <f>IF(Q6="","",Q6-D6)</f>
        <v/>
      </c>
      <c r="S6" s="29">
        <f>IF(Q6="","",Q6/D6-1)</f>
        <v/>
      </c>
      <c r="U6" s="15" t="n"/>
      <c r="V6" s="14">
        <f>IF(Q6="","",IF(U6="",J6*Q6/D6,U6)+K6*Q6/D6+L6+N(T6))</f>
        <v/>
      </c>
      <c r="W6" s="30">
        <f>IF(V6="","",V6-N6)</f>
        <v/>
      </c>
      <c r="X6" s="25" t="inlineStr">
        <is>
          <t>_bmad-output/planning-artifacts/epics.md Epic 2: Invoices are read and checked automatically</t>
        </is>
      </c>
    </row>
    <row r="7">
      <c r="A7" s="7" t="n">
        <v>3</v>
      </c>
      <c r="B7" t="inlineStr">
        <is>
          <t>Clean invoices post to the accounts system</t>
        </is>
      </c>
      <c r="C7" s="25" t="inlineStr">
        <is>
          <t>Stories 3.1-3.4: accounts sim, auto-post, admin approve, search</t>
        </is>
      </c>
      <c r="D7" s="4" t="n">
        <v>4</v>
      </c>
      <c r="E7" s="5">
        <f>IF(D7="","",D7/5)</f>
        <v/>
      </c>
      <c r="F7" s="26">
        <f>IF(OR(D7="",ProjectStart=""),"",WORKDAY(G6,1))</f>
        <v/>
      </c>
      <c r="G7" s="26">
        <f>IF(F7="","",WORKDAY(F7,D7-1))</f>
        <v/>
      </c>
      <c r="H7" s="24">
        <f>IF(D7="","",D7/SUM($D$5:$D$12))</f>
        <v/>
      </c>
      <c r="I7" s="13">
        <f>IF(D7="","",H7*'Overall'!$F$23)</f>
        <v/>
      </c>
      <c r="J7" s="14">
        <f>IF(D7="","",H7*'Overall'!$G$23)</f>
        <v/>
      </c>
      <c r="K7" s="14">
        <f>IF(D7="","",H7*('Overall'!$D$35+'Overall'!$D$36+'Overall'!$D$37))</f>
        <v/>
      </c>
      <c r="L7" s="14">
        <f>IF(A7="","",SUMIFS('Other Costs'!$C$5:$C$7,'Other Costs'!$F$5:$F$7,A7))</f>
        <v/>
      </c>
      <c r="M7" s="27" t="n">
        <v>24</v>
      </c>
      <c r="N7" s="14">
        <f>IF(D7="","",J7+K7+L7+N(M7))</f>
        <v/>
      </c>
      <c r="O7" s="6" t="n"/>
      <c r="P7" s="6" t="n"/>
      <c r="Q7" s="13">
        <f>IF(OR(D7="",O7="",P7=""),"",NETWORKDAYS(O7,P7))</f>
        <v/>
      </c>
      <c r="R7" s="28">
        <f>IF(Q7="","",Q7-D7)</f>
        <v/>
      </c>
      <c r="S7" s="29">
        <f>IF(Q7="","",Q7/D7-1)</f>
        <v/>
      </c>
      <c r="U7" s="15" t="n"/>
      <c r="V7" s="14">
        <f>IF(Q7="","",IF(U7="",J7*Q7/D7,U7)+K7*Q7/D7+L7+N(T7))</f>
        <v/>
      </c>
      <c r="W7" s="30">
        <f>IF(V7="","",V7-N7)</f>
        <v/>
      </c>
      <c r="X7" s="25" t="inlineStr">
        <is>
          <t>_bmad-output/planning-artifacts/epics.md Epic 3: Clean invoices post to the accounts system automatically</t>
        </is>
      </c>
    </row>
    <row r="8">
      <c r="A8" s="7" t="n">
        <v>4</v>
      </c>
      <c r="B8" t="inlineStr">
        <is>
          <t>Deliveries tracked, overdue suppliers reminded</t>
        </is>
      </c>
      <c r="C8" s="25" t="inlineStr">
        <is>
          <t>Stories 4.1-4.4: goods-in scan, overdue list, reminders, delivery dates page</t>
        </is>
      </c>
      <c r="D8" s="4" t="n">
        <v>3</v>
      </c>
      <c r="E8" s="5">
        <f>IF(D8="","",D8/5)</f>
        <v/>
      </c>
      <c r="F8" s="26">
        <f>IF(OR(D8="",ProjectStart=""),"",WORKDAY(G7,1))</f>
        <v/>
      </c>
      <c r="G8" s="26">
        <f>IF(F8="","",WORKDAY(F8,D8-1))</f>
        <v/>
      </c>
      <c r="H8" s="24">
        <f>IF(D8="","",D8/SUM($D$5:$D$12))</f>
        <v/>
      </c>
      <c r="I8" s="13">
        <f>IF(D8="","",H8*'Overall'!$F$23)</f>
        <v/>
      </c>
      <c r="J8" s="14">
        <f>IF(D8="","",H8*'Overall'!$G$23)</f>
        <v/>
      </c>
      <c r="K8" s="14">
        <f>IF(D8="","",H8*('Overall'!$D$35+'Overall'!$D$36+'Overall'!$D$37))</f>
        <v/>
      </c>
      <c r="L8" s="14">
        <f>IF(A8="","",SUMIFS('Other Costs'!$C$5:$C$7,'Other Costs'!$F$5:$F$7,A8))</f>
        <v/>
      </c>
      <c r="M8" s="27" t="n">
        <v>30</v>
      </c>
      <c r="N8" s="14">
        <f>IF(D8="","",J8+K8+L8+N(M8))</f>
        <v/>
      </c>
      <c r="O8" s="6" t="n"/>
      <c r="P8" s="6" t="n"/>
      <c r="Q8" s="13">
        <f>IF(OR(D8="",O8="",P8=""),"",NETWORKDAYS(O8,P8))</f>
        <v/>
      </c>
      <c r="R8" s="28">
        <f>IF(Q8="","",Q8-D8)</f>
        <v/>
      </c>
      <c r="S8" s="29">
        <f>IF(Q8="","",Q8/D8-1)</f>
        <v/>
      </c>
      <c r="U8" s="15" t="n"/>
      <c r="V8" s="14">
        <f>IF(Q8="","",IF(U8="",J8*Q8/D8,U8)+K8*Q8/D8+L8+N(T8))</f>
        <v/>
      </c>
      <c r="W8" s="30">
        <f>IF(V8="","",V8-N8)</f>
        <v/>
      </c>
      <c r="X8" s="25" t="inlineStr">
        <is>
          <t>_bmad-output/planning-artifacts/epics.md Epic 4: Deliveries are tracked, and overdue suppliers are reminded</t>
        </is>
      </c>
    </row>
    <row r="9">
      <c r="A9" s="7" t="n">
        <v>5</v>
      </c>
      <c r="B9" t="inlineStr">
        <is>
          <t>Supplier price and speed insights</t>
        </is>
      </c>
      <c r="C9" s="25" t="inlineStr">
        <is>
          <t>Stories 5.1-5.6: analytics refresh, alert emails, price comparison, watchlist, scorecard, finance view</t>
        </is>
      </c>
      <c r="D9" s="4" t="n">
        <v>5</v>
      </c>
      <c r="E9" s="5">
        <f>IF(D9="","",D9/5)</f>
        <v/>
      </c>
      <c r="F9" s="26">
        <f>IF(OR(D9="",ProjectStart=""),"",WORKDAY(G8,1))</f>
        <v/>
      </c>
      <c r="G9" s="26">
        <f>IF(F9="","",WORKDAY(F9,D9-1))</f>
        <v/>
      </c>
      <c r="H9" s="24">
        <f>IF(D9="","",D9/SUM($D$5:$D$12))</f>
        <v/>
      </c>
      <c r="I9" s="13">
        <f>IF(D9="","",H9*'Overall'!$F$23)</f>
        <v/>
      </c>
      <c r="J9" s="14">
        <f>IF(D9="","",H9*'Overall'!$G$23)</f>
        <v/>
      </c>
      <c r="K9" s="14">
        <f>IF(D9="","",H9*('Overall'!$D$35+'Overall'!$D$36+'Overall'!$D$37))</f>
        <v/>
      </c>
      <c r="L9" s="14">
        <f>IF(A9="","",SUMIFS('Other Costs'!$C$5:$C$7,'Other Costs'!$F$5:$F$7,A9))</f>
        <v/>
      </c>
      <c r="M9" s="27" t="n">
        <v>36</v>
      </c>
      <c r="N9" s="14">
        <f>IF(D9="","",J9+K9+L9+N(M9))</f>
        <v/>
      </c>
      <c r="O9" s="6" t="n"/>
      <c r="P9" s="6" t="n"/>
      <c r="Q9" s="13">
        <f>IF(OR(D9="",O9="",P9=""),"",NETWORKDAYS(O9,P9))</f>
        <v/>
      </c>
      <c r="R9" s="28">
        <f>IF(Q9="","",Q9-D9)</f>
        <v/>
      </c>
      <c r="S9" s="29">
        <f>IF(Q9="","",Q9/D9-1)</f>
        <v/>
      </c>
      <c r="U9" s="15" t="n"/>
      <c r="V9" s="14">
        <f>IF(Q9="","",IF(U9="",J9*Q9/D9,U9)+K9*Q9/D9+L9+N(T9))</f>
        <v/>
      </c>
      <c r="W9" s="30">
        <f>IF(V9="","",V9-N9)</f>
        <v/>
      </c>
      <c r="X9" s="25" t="inlineStr">
        <is>
          <t>_bmad-output/planning-artifacts/epics.md Epic 5: Finance and procurement see supplier price and speed insights</t>
        </is>
      </c>
    </row>
    <row r="10">
      <c r="A10" s="15" t="n"/>
      <c r="B10" s="15" t="n"/>
      <c r="C10" s="15" t="n"/>
      <c r="D10" s="15" t="n"/>
      <c r="E10" s="5">
        <f>IF(D10="","",D10/5)</f>
        <v/>
      </c>
      <c r="F10" s="26">
        <f>IF(OR(D10="",ProjectStart=""),"",WORKDAY(G9,1))</f>
        <v/>
      </c>
      <c r="G10" s="26">
        <f>IF(F10="","",WORKDAY(F10,D10-1))</f>
        <v/>
      </c>
      <c r="H10" s="24">
        <f>IF(D10="","",D10/SUM($D$5:$D$12))</f>
        <v/>
      </c>
      <c r="I10" s="13">
        <f>IF(D10="","",H10*'Overall'!$F$23)</f>
        <v/>
      </c>
      <c r="J10" s="14">
        <f>IF(D10="","",H10*'Overall'!$G$23)</f>
        <v/>
      </c>
      <c r="K10" s="14">
        <f>IF(D10="","",H10*('Overall'!$D$35+'Overall'!$D$36+'Overall'!$D$37))</f>
        <v/>
      </c>
      <c r="L10" s="14">
        <f>IF(A10="","",SUMIFS('Other Costs'!$C$5:$C$7,'Other Costs'!$F$5:$F$7,A10))</f>
        <v/>
      </c>
      <c r="M10" s="15" t="n"/>
      <c r="N10" s="14">
        <f>IF(D10="","",J10+K10+L10+N(M10))</f>
        <v/>
      </c>
      <c r="O10" s="6" t="n"/>
      <c r="P10" s="6" t="n"/>
      <c r="Q10" s="13">
        <f>IF(OR(D10="",O10="",P10=""),"",NETWORKDAYS(O10,P10))</f>
        <v/>
      </c>
      <c r="R10" s="28">
        <f>IF(Q10="","",Q10-D10)</f>
        <v/>
      </c>
      <c r="S10" s="29">
        <f>IF(Q10="","",Q10/D10-1)</f>
        <v/>
      </c>
      <c r="U10" s="15" t="n"/>
      <c r="V10" s="14">
        <f>IF(Q10="","",IF(U10="",J10*Q10/D10,U10)+K10*Q10/D10+L10+N(T10))</f>
        <v/>
      </c>
      <c r="W10" s="30">
        <f>IF(V10="","",V10-N10)</f>
        <v/>
      </c>
    </row>
    <row r="11">
      <c r="A11" s="15" t="n"/>
      <c r="B11" s="15" t="n"/>
      <c r="C11" s="15" t="n"/>
      <c r="D11" s="15" t="n"/>
      <c r="E11" s="5">
        <f>IF(D11="","",D11/5)</f>
        <v/>
      </c>
      <c r="F11" s="26">
        <f>IF(OR(D11="",ProjectStart=""),"",WORKDAY(G10,1))</f>
        <v/>
      </c>
      <c r="G11" s="26">
        <f>IF(F11="","",WORKDAY(F11,D11-1))</f>
        <v/>
      </c>
      <c r="H11" s="24">
        <f>IF(D11="","",D11/SUM($D$5:$D$12))</f>
        <v/>
      </c>
      <c r="I11" s="13">
        <f>IF(D11="","",H11*'Overall'!$F$23)</f>
        <v/>
      </c>
      <c r="J11" s="14">
        <f>IF(D11="","",H11*'Overall'!$G$23)</f>
        <v/>
      </c>
      <c r="K11" s="14">
        <f>IF(D11="","",H11*('Overall'!$D$35+'Overall'!$D$36+'Overall'!$D$37))</f>
        <v/>
      </c>
      <c r="L11" s="14">
        <f>IF(A11="","",SUMIFS('Other Costs'!$C$5:$C$7,'Other Costs'!$F$5:$F$7,A11))</f>
        <v/>
      </c>
      <c r="M11" s="15" t="n"/>
      <c r="N11" s="14">
        <f>IF(D11="","",J11+K11+L11+N(M11))</f>
        <v/>
      </c>
      <c r="O11" s="6" t="n"/>
      <c r="P11" s="6" t="n"/>
      <c r="Q11" s="13">
        <f>IF(OR(D11="",O11="",P11=""),"",NETWORKDAYS(O11,P11))</f>
        <v/>
      </c>
      <c r="R11" s="28">
        <f>IF(Q11="","",Q11-D11)</f>
        <v/>
      </c>
      <c r="S11" s="29">
        <f>IF(Q11="","",Q11/D11-1)</f>
        <v/>
      </c>
      <c r="U11" s="15" t="n"/>
      <c r="V11" s="14">
        <f>IF(Q11="","",IF(U11="",J11*Q11/D11,U11)+K11*Q11/D11+L11+N(T11))</f>
        <v/>
      </c>
      <c r="W11" s="30">
        <f>IF(V11="","",V11-N11)</f>
        <v/>
      </c>
    </row>
    <row r="12">
      <c r="A12" s="15" t="n"/>
      <c r="B12" s="15" t="n"/>
      <c r="C12" s="15" t="n"/>
      <c r="D12" s="15" t="n"/>
      <c r="E12" s="5">
        <f>IF(D12="","",D12/5)</f>
        <v/>
      </c>
      <c r="F12" s="26">
        <f>IF(OR(D12="",ProjectStart=""),"",WORKDAY(G11,1))</f>
        <v/>
      </c>
      <c r="G12" s="26">
        <f>IF(F12="","",WORKDAY(F12,D12-1))</f>
        <v/>
      </c>
      <c r="H12" s="24">
        <f>IF(D12="","",D12/SUM($D$5:$D$12))</f>
        <v/>
      </c>
      <c r="I12" s="13">
        <f>IF(D12="","",H12*'Overall'!$F$23)</f>
        <v/>
      </c>
      <c r="J12" s="14">
        <f>IF(D12="","",H12*'Overall'!$G$23)</f>
        <v/>
      </c>
      <c r="K12" s="14">
        <f>IF(D12="","",H12*('Overall'!$D$35+'Overall'!$D$36+'Overall'!$D$37))</f>
        <v/>
      </c>
      <c r="L12" s="14">
        <f>IF(A12="","",SUMIFS('Other Costs'!$C$5:$C$7,'Other Costs'!$F$5:$F$7,A12))</f>
        <v/>
      </c>
      <c r="M12" s="15" t="n"/>
      <c r="N12" s="14">
        <f>IF(D12="","",J12+K12+L12+N(M12))</f>
        <v/>
      </c>
      <c r="O12" s="6" t="n"/>
      <c r="P12" s="6" t="n"/>
      <c r="Q12" s="13">
        <f>IF(OR(D12="",O12="",P12=""),"",NETWORKDAYS(O12,P12))</f>
        <v/>
      </c>
      <c r="R12" s="28">
        <f>IF(Q12="","",Q12-D12)</f>
        <v/>
      </c>
      <c r="S12" s="29">
        <f>IF(Q12="","",Q12/D12-1)</f>
        <v/>
      </c>
      <c r="U12" s="15" t="n"/>
      <c r="V12" s="14">
        <f>IF(Q12="","",IF(U12="",J12*Q12/D12,U12)+K12*Q12/D12+L12+N(T12))</f>
        <v/>
      </c>
      <c r="W12" s="30">
        <f>IF(V12="","",V12-N12)</f>
        <v/>
      </c>
    </row>
    <row r="13">
      <c r="A13" s="16" t="inlineStr">
        <is>
          <t>Total</t>
        </is>
      </c>
      <c r="B13" s="16" t="n"/>
      <c r="C13" s="16" t="n"/>
      <c r="D13" s="17">
        <f>SUM(D5:D12)</f>
        <v/>
      </c>
      <c r="E13" s="16" t="n"/>
      <c r="F13" s="16" t="n"/>
      <c r="G13" s="16" t="n"/>
      <c r="H13" s="16" t="n"/>
      <c r="I13" s="17">
        <f>SUM(I5:I12)</f>
        <v/>
      </c>
      <c r="J13" s="18">
        <f>SUM(J5:J12)</f>
        <v/>
      </c>
      <c r="K13" s="18">
        <f>SUM(K5:K12)</f>
        <v/>
      </c>
      <c r="L13" s="18">
        <f>SUM(L5:L12)</f>
        <v/>
      </c>
      <c r="M13" s="18">
        <f>SUM(M5:M12)</f>
        <v/>
      </c>
      <c r="N13" s="18">
        <f>SUM(N5:N12)</f>
        <v/>
      </c>
      <c r="O13" s="16" t="n"/>
      <c r="P13" s="16" t="n"/>
      <c r="Q13" s="17">
        <f>SUM(Q5:Q12)</f>
        <v/>
      </c>
      <c r="R13" s="17">
        <f>SUM(R5:R12)</f>
        <v/>
      </c>
      <c r="S13" s="31">
        <f>IF(Q13=0,"",Q13/SUMIFS(D5:D12,Q5:Q12,"&gt;0")-1)</f>
        <v/>
      </c>
      <c r="T13" s="18">
        <f>SUM(T5:T12)</f>
        <v/>
      </c>
      <c r="U13" s="18">
        <f>SUM(U5:U12)</f>
        <v/>
      </c>
      <c r="V13" s="18">
        <f>SUM(V5:V12)</f>
        <v/>
      </c>
      <c r="W13" s="18">
        <f>SUM(W5:W12)</f>
        <v/>
      </c>
      <c r="X13" s="16" t="n"/>
    </row>
    <row r="15">
      <c r="A15">
        <f>IF(D13=DeliveryDays,"The planned epics add up to the days of delivery.","The planned epics add up to "&amp;D13&amp;" working days; the days of delivery input is "&amp;DeliveryDays&amp;". Costs are shared by planned epic days either way.")</f>
        <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0" customWidth="1" min="4" max="4"/>
    <col width="34" customWidth="1" min="5" max="5"/>
    <col width="14" customWidth="1" min="6" max="6"/>
    <col width="13" customWidth="1" min="7" max="7"/>
    <col width="13" customWidth="1" min="8" max="8"/>
    <col width="15" customWidth="1" min="9" max="9"/>
    <col width="10" customWidth="1" min="10" max="10"/>
    <col width="10" customWidth="1" min="11" max="11"/>
    <col width="34" customWidth="1" min="12" max="12"/>
    <col width="14" customWidth="1" min="13" max="13"/>
    <col width="15" customWidth="1" min="14" max="14"/>
    <col width="15" customWidth="1" min="15" max="15"/>
    <col width="14" customWidth="1" min="16" max="16"/>
  </cols>
  <sheetData>
    <row r="1">
      <c r="A1" s="1" t="inlineStr">
        <is>
          <t>Sprints: forecast and actual</t>
        </is>
      </c>
    </row>
    <row r="2">
      <c r="A2" t="inlineStr">
        <is>
          <t>In USD. Every sprint is a timebox of the Overall input 'Working days per sprint' from the delivery start date. Forecast: the sprint's planned working days (the days of delivery, sprint by sprint) at the delivery team's and the environments' daily cost, plus any Claude API budget. Actual, up to the last actual activity (the latest completed story or day of Claude usage): the days worked in the sprint, the stories completed, the Claude API cost on its days, and the team at the days worked unless timesheets are entered. Sprints past the plan appear when work ran over. Blue cells are inputs.</t>
        </is>
      </c>
    </row>
    <row r="3">
      <c r="A3" t="inlineStr">
        <is>
          <t>Last actual activity</t>
        </is>
      </c>
    </row>
    <row r="4">
      <c r="A4" s="3" t="inlineStr">
        <is>
          <t>Sprint</t>
        </is>
      </c>
      <c r="B4" s="3" t="inlineStr">
        <is>
          <t>Start</t>
        </is>
      </c>
      <c r="C4" s="3" t="inlineStr">
        <is>
          <t>End</t>
        </is>
      </c>
      <c r="D4" s="3" t="inlineStr">
        <is>
          <t>Planned days</t>
        </is>
      </c>
      <c r="E4" s="3" t="inlineStr">
        <is>
          <t>Planned stories</t>
        </is>
      </c>
      <c r="F4" s="3" t="inlineStr">
        <is>
          <t>Team cost (USD)</t>
        </is>
      </c>
      <c r="G4" s="3" t="inlineStr">
        <is>
          <t>Infra cost (USD)</t>
        </is>
      </c>
      <c r="H4" s="3" t="inlineStr">
        <is>
          <t>Claude API budget (USD)</t>
        </is>
      </c>
      <c r="I4" s="3" t="inlineStr">
        <is>
          <t>Forecast total (USD)</t>
        </is>
      </c>
      <c r="J4" s="3" t="inlineStr">
        <is>
          <t>Days worked</t>
        </is>
      </c>
      <c r="K4" s="3" t="inlineStr">
        <is>
          <t>Stories done</t>
        </is>
      </c>
      <c r="L4" s="3" t="inlineStr">
        <is>
          <t>Stories done (list)</t>
        </is>
      </c>
      <c r="M4" s="3" t="inlineStr">
        <is>
          <t>Claude API actual (USD)</t>
        </is>
      </c>
      <c r="N4" s="3" t="inlineStr">
        <is>
          <t>Actual team cost, timesheets (USD)</t>
        </is>
      </c>
      <c r="O4" s="3" t="inlineStr">
        <is>
          <t>Actual total (USD)</t>
        </is>
      </c>
      <c r="P4" s="3" t="inlineStr">
        <is>
          <t>Cost variance (USD)</t>
        </is>
      </c>
    </row>
    <row r="5">
      <c r="A5" s="32" t="n">
        <v>1</v>
      </c>
      <c r="B5" s="26">
        <f>IF(OR(D5="",ProjectStart=""),"",WORKDAY(ProjectStart,(1-1)*SprintDays))</f>
        <v/>
      </c>
      <c r="C5" s="26">
        <f>IF(B5="","",WORKDAY(B5,SprintDays-1))</f>
        <v/>
      </c>
      <c r="D5" s="32">
        <f>IF(OR(MIN(SprintDays,MAX(0,DeliveryDays-(1-1)*SprintDays))&gt;0,AND(ProjectStart&lt;&gt;"",LastActual&lt;&gt;"",WORKDAY(ProjectStart,(1-1)*SprintDays)&lt;=N(LastActual))),MIN(SprintDays,MAX(0,DeliveryDays-(1-1)*SprintDays)),"")</f>
        <v/>
      </c>
      <c r="E5" s="15" t="n"/>
      <c r="F5" s="14">
        <f>IF(D5="","",D5*'Overall'!$G$23/DeliveryDays)</f>
        <v/>
      </c>
      <c r="G5" s="14">
        <f>IF(D5="","",D5*('Overall'!$D$35+'Overall'!$D$36+'Overall'!$D$37)/DeliveryDays)</f>
        <v/>
      </c>
      <c r="H5" s="15" t="n"/>
      <c r="I5" s="14">
        <f>IF(D5="","",F5+G5+N(H5))</f>
        <v/>
      </c>
      <c r="J5" s="32">
        <f>IF(OR(B5="",LastActual="",B5&gt;N(LastActual)),"",NETWORKDAYS(B5,MIN(C5,LastActual)))</f>
        <v/>
      </c>
      <c r="N5" s="15" t="n"/>
      <c r="O5" s="14">
        <f>IF(J5="","",IF(N5="",J5*'Overall'!$G$23/DeliveryDays,N5)+J5*('Overall'!$D$35+'Overall'!$D$36+'Overall'!$D$37)/DeliveryDays+N(M5))</f>
        <v/>
      </c>
      <c r="P5" s="30">
        <f>IF(O5="","",O5-N(I5))</f>
        <v/>
      </c>
    </row>
    <row r="6">
      <c r="A6" s="32" t="n">
        <v>2</v>
      </c>
      <c r="B6" s="26">
        <f>IF(OR(D6="",ProjectStart=""),"",WORKDAY(ProjectStart,(2-1)*SprintDays))</f>
        <v/>
      </c>
      <c r="C6" s="26">
        <f>IF(B6="","",WORKDAY(B6,SprintDays-1))</f>
        <v/>
      </c>
      <c r="D6" s="32">
        <f>IF(OR(MIN(SprintDays,MAX(0,DeliveryDays-(2-1)*SprintDays))&gt;0,AND(ProjectStart&lt;&gt;"",LastActual&lt;&gt;"",WORKDAY(ProjectStart,(2-1)*SprintDays)&lt;=N(LastActual))),MIN(SprintDays,MAX(0,DeliveryDays-(2-1)*SprintDays)),"")</f>
        <v/>
      </c>
      <c r="E6" s="15" t="n"/>
      <c r="F6" s="14">
        <f>IF(D6="","",D6*'Overall'!$G$23/DeliveryDays)</f>
        <v/>
      </c>
      <c r="G6" s="14">
        <f>IF(D6="","",D6*('Overall'!$D$35+'Overall'!$D$36+'Overall'!$D$37)/DeliveryDays)</f>
        <v/>
      </c>
      <c r="H6" s="15" t="n"/>
      <c r="I6" s="14">
        <f>IF(D6="","",F6+G6+N(H6))</f>
        <v/>
      </c>
      <c r="J6" s="32">
        <f>IF(OR(B6="",LastActual="",B6&gt;N(LastActual)),"",NETWORKDAYS(B6,MIN(C6,LastActual)))</f>
        <v/>
      </c>
      <c r="N6" s="15" t="n"/>
      <c r="O6" s="14">
        <f>IF(J6="","",IF(N6="",J6*'Overall'!$G$23/DeliveryDays,N6)+J6*('Overall'!$D$35+'Overall'!$D$36+'Overall'!$D$37)/DeliveryDays+N(M6))</f>
        <v/>
      </c>
      <c r="P6" s="30">
        <f>IF(O6="","",O6-N(I6))</f>
        <v/>
      </c>
    </row>
    <row r="7">
      <c r="A7" s="32" t="n">
        <v>3</v>
      </c>
      <c r="B7" s="26">
        <f>IF(OR(D7="",ProjectStart=""),"",WORKDAY(ProjectStart,(3-1)*SprintDays))</f>
        <v/>
      </c>
      <c r="C7" s="26">
        <f>IF(B7="","",WORKDAY(B7,SprintDays-1))</f>
        <v/>
      </c>
      <c r="D7" s="32">
        <f>IF(OR(MIN(SprintDays,MAX(0,DeliveryDays-(3-1)*SprintDays))&gt;0,AND(ProjectStart&lt;&gt;"",LastActual&lt;&gt;"",WORKDAY(ProjectStart,(3-1)*SprintDays)&lt;=N(LastActual))),MIN(SprintDays,MAX(0,DeliveryDays-(3-1)*SprintDays)),"")</f>
        <v/>
      </c>
      <c r="E7" s="15" t="n"/>
      <c r="F7" s="14">
        <f>IF(D7="","",D7*'Overall'!$G$23/DeliveryDays)</f>
        <v/>
      </c>
      <c r="G7" s="14">
        <f>IF(D7="","",D7*('Overall'!$D$35+'Overall'!$D$36+'Overall'!$D$37)/DeliveryDays)</f>
        <v/>
      </c>
      <c r="H7" s="15" t="n"/>
      <c r="I7" s="14">
        <f>IF(D7="","",F7+G7+N(H7))</f>
        <v/>
      </c>
      <c r="J7" s="32">
        <f>IF(OR(B7="",LastActual="",B7&gt;N(LastActual)),"",NETWORKDAYS(B7,MIN(C7,LastActual)))</f>
        <v/>
      </c>
      <c r="N7" s="15" t="n"/>
      <c r="O7" s="14">
        <f>IF(J7="","",IF(N7="",J7*'Overall'!$G$23/DeliveryDays,N7)+J7*('Overall'!$D$35+'Overall'!$D$36+'Overall'!$D$37)/DeliveryDays+N(M7))</f>
        <v/>
      </c>
      <c r="P7" s="30">
        <f>IF(O7="","",O7-N(I7))</f>
        <v/>
      </c>
    </row>
    <row r="8">
      <c r="A8" s="32" t="n">
        <v>4</v>
      </c>
      <c r="B8" s="26">
        <f>IF(OR(D8="",ProjectStart=""),"",WORKDAY(ProjectStart,(4-1)*SprintDays))</f>
        <v/>
      </c>
      <c r="C8" s="26">
        <f>IF(B8="","",WORKDAY(B8,SprintDays-1))</f>
        <v/>
      </c>
      <c r="D8" s="32">
        <f>IF(OR(MIN(SprintDays,MAX(0,DeliveryDays-(4-1)*SprintDays))&gt;0,AND(ProjectStart&lt;&gt;"",LastActual&lt;&gt;"",WORKDAY(ProjectStart,(4-1)*SprintDays)&lt;=N(LastActual))),MIN(SprintDays,MAX(0,DeliveryDays-(4-1)*SprintDays)),"")</f>
        <v/>
      </c>
      <c r="E8" s="15" t="n"/>
      <c r="F8" s="14">
        <f>IF(D8="","",D8*'Overall'!$G$23/DeliveryDays)</f>
        <v/>
      </c>
      <c r="G8" s="14">
        <f>IF(D8="","",D8*('Overall'!$D$35+'Overall'!$D$36+'Overall'!$D$37)/DeliveryDays)</f>
        <v/>
      </c>
      <c r="H8" s="15" t="n"/>
      <c r="I8" s="14">
        <f>IF(D8="","",F8+G8+N(H8))</f>
        <v/>
      </c>
      <c r="J8" s="32">
        <f>IF(OR(B8="",LastActual="",B8&gt;N(LastActual)),"",NETWORKDAYS(B8,MIN(C8,LastActual)))</f>
        <v/>
      </c>
      <c r="N8" s="15" t="n"/>
      <c r="O8" s="14">
        <f>IF(J8="","",IF(N8="",J8*'Overall'!$G$23/DeliveryDays,N8)+J8*('Overall'!$D$35+'Overall'!$D$36+'Overall'!$D$37)/DeliveryDays+N(M8))</f>
        <v/>
      </c>
      <c r="P8" s="30">
        <f>IF(O8="","",O8-N(I8))</f>
        <v/>
      </c>
    </row>
    <row r="9">
      <c r="A9" s="32" t="n">
        <v>5</v>
      </c>
      <c r="B9" s="26">
        <f>IF(OR(D9="",ProjectStart=""),"",WORKDAY(ProjectStart,(5-1)*SprintDays))</f>
        <v/>
      </c>
      <c r="C9" s="26">
        <f>IF(B9="","",WORKDAY(B9,SprintDays-1))</f>
        <v/>
      </c>
      <c r="D9" s="32">
        <f>IF(OR(MIN(SprintDays,MAX(0,DeliveryDays-(5-1)*SprintDays))&gt;0,AND(ProjectStart&lt;&gt;"",LastActual&lt;&gt;"",WORKDAY(ProjectStart,(5-1)*SprintDays)&lt;=N(LastActual))),MIN(SprintDays,MAX(0,DeliveryDays-(5-1)*SprintDays)),"")</f>
        <v/>
      </c>
      <c r="E9" s="15" t="n"/>
      <c r="F9" s="14">
        <f>IF(D9="","",D9*'Overall'!$G$23/DeliveryDays)</f>
        <v/>
      </c>
      <c r="G9" s="14">
        <f>IF(D9="","",D9*('Overall'!$D$35+'Overall'!$D$36+'Overall'!$D$37)/DeliveryDays)</f>
        <v/>
      </c>
      <c r="H9" s="15" t="n"/>
      <c r="I9" s="14">
        <f>IF(D9="","",F9+G9+N(H9))</f>
        <v/>
      </c>
      <c r="J9" s="32">
        <f>IF(OR(B9="",LastActual="",B9&gt;N(LastActual)),"",NETWORKDAYS(B9,MIN(C9,LastActual)))</f>
        <v/>
      </c>
      <c r="N9" s="15" t="n"/>
      <c r="O9" s="14">
        <f>IF(J9="","",IF(N9="",J9*'Overall'!$G$23/DeliveryDays,N9)+J9*('Overall'!$D$35+'Overall'!$D$36+'Overall'!$D$37)/DeliveryDays+N(M9))</f>
        <v/>
      </c>
      <c r="P9" s="30">
        <f>IF(O9="","",O9-N(I9))</f>
        <v/>
      </c>
    </row>
    <row r="10">
      <c r="A10" s="32" t="n">
        <v>6</v>
      </c>
      <c r="B10" s="26">
        <f>IF(OR(D10="",ProjectStart=""),"",WORKDAY(ProjectStart,(6-1)*SprintDays))</f>
        <v/>
      </c>
      <c r="C10" s="26">
        <f>IF(B10="","",WORKDAY(B10,SprintDays-1))</f>
        <v/>
      </c>
      <c r="D10" s="32">
        <f>IF(OR(MIN(SprintDays,MAX(0,DeliveryDays-(6-1)*SprintDays))&gt;0,AND(ProjectStart&lt;&gt;"",LastActual&lt;&gt;"",WORKDAY(ProjectStart,(6-1)*SprintDays)&lt;=N(LastActual))),MIN(SprintDays,MAX(0,DeliveryDays-(6-1)*SprintDays)),"")</f>
        <v/>
      </c>
      <c r="E10" s="15" t="n"/>
      <c r="F10" s="14">
        <f>IF(D10="","",D10*'Overall'!$G$23/DeliveryDays)</f>
        <v/>
      </c>
      <c r="G10" s="14">
        <f>IF(D10="","",D10*('Overall'!$D$35+'Overall'!$D$36+'Overall'!$D$37)/DeliveryDays)</f>
        <v/>
      </c>
      <c r="H10" s="15" t="n"/>
      <c r="I10" s="14">
        <f>IF(D10="","",F10+G10+N(H10))</f>
        <v/>
      </c>
      <c r="J10" s="32">
        <f>IF(OR(B10="",LastActual="",B10&gt;N(LastActual)),"",NETWORKDAYS(B10,MIN(C10,LastActual)))</f>
        <v/>
      </c>
      <c r="N10" s="15" t="n"/>
      <c r="O10" s="14">
        <f>IF(J10="","",IF(N10="",J10*'Overall'!$G$23/DeliveryDays,N10)+J10*('Overall'!$D$35+'Overall'!$D$36+'Overall'!$D$37)/DeliveryDays+N(M10))</f>
        <v/>
      </c>
      <c r="P10" s="30">
        <f>IF(O10="","",O10-N(I10))</f>
        <v/>
      </c>
    </row>
    <row r="11">
      <c r="A11" s="32" t="n">
        <v>7</v>
      </c>
      <c r="B11" s="26">
        <f>IF(OR(D11="",ProjectStart=""),"",WORKDAY(ProjectStart,(7-1)*SprintDays))</f>
        <v/>
      </c>
      <c r="C11" s="26">
        <f>IF(B11="","",WORKDAY(B11,SprintDays-1))</f>
        <v/>
      </c>
      <c r="D11" s="32">
        <f>IF(OR(MIN(SprintDays,MAX(0,DeliveryDays-(7-1)*SprintDays))&gt;0,AND(ProjectStart&lt;&gt;"",LastActual&lt;&gt;"",WORKDAY(ProjectStart,(7-1)*SprintDays)&lt;=N(LastActual))),MIN(SprintDays,MAX(0,DeliveryDays-(7-1)*SprintDays)),"")</f>
        <v/>
      </c>
      <c r="E11" s="15" t="n"/>
      <c r="F11" s="14">
        <f>IF(D11="","",D11*'Overall'!$G$23/DeliveryDays)</f>
        <v/>
      </c>
      <c r="G11" s="14">
        <f>IF(D11="","",D11*('Overall'!$D$35+'Overall'!$D$36+'Overall'!$D$37)/DeliveryDays)</f>
        <v/>
      </c>
      <c r="H11" s="15" t="n"/>
      <c r="I11" s="14">
        <f>IF(D11="","",F11+G11+N(H11))</f>
        <v/>
      </c>
      <c r="J11" s="32">
        <f>IF(OR(B11="",LastActual="",B11&gt;N(LastActual)),"",NETWORKDAYS(B11,MIN(C11,LastActual)))</f>
        <v/>
      </c>
      <c r="N11" s="15" t="n"/>
      <c r="O11" s="14">
        <f>IF(J11="","",IF(N11="",J11*'Overall'!$G$23/DeliveryDays,N11)+J11*('Overall'!$D$35+'Overall'!$D$36+'Overall'!$D$37)/DeliveryDays+N(M11))</f>
        <v/>
      </c>
      <c r="P11" s="30">
        <f>IF(O11="","",O11-N(I11))</f>
        <v/>
      </c>
    </row>
    <row r="12">
      <c r="A12" s="16" t="inlineStr">
        <is>
          <t>Total</t>
        </is>
      </c>
      <c r="B12" s="16" t="n"/>
      <c r="C12" s="16" t="n"/>
      <c r="D12" s="33">
        <f>SUM(D5:D11)</f>
        <v/>
      </c>
      <c r="E12" s="16" t="n"/>
      <c r="F12" s="18">
        <f>SUM(F5:F11)</f>
        <v/>
      </c>
      <c r="G12" s="18">
        <f>SUM(G5:G11)</f>
        <v/>
      </c>
      <c r="H12" s="18">
        <f>SUM(H5:H11)</f>
        <v/>
      </c>
      <c r="I12" s="18">
        <f>SUM(I5:I11)</f>
        <v/>
      </c>
      <c r="J12" s="33">
        <f>SUM(J5:J11)</f>
        <v/>
      </c>
      <c r="K12" s="33">
        <f>SUM(K5:K11)</f>
        <v/>
      </c>
      <c r="L12" s="16" t="n"/>
      <c r="M12" s="18">
        <f>SUM(M5:M11)</f>
        <v/>
      </c>
      <c r="N12" s="18">
        <f>SUM(N5:N11)</f>
        <v/>
      </c>
      <c r="O12" s="18">
        <f>SUM(O5:O11)</f>
        <v/>
      </c>
      <c r="P12" s="18">
        <f>SUM(P5:P11)</f>
        <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4" customWidth="1" min="4" max="4"/>
    <col width="11" customWidth="1" min="5" max="5"/>
    <col width="40" customWidth="1" min="6" max="6"/>
  </cols>
  <sheetData>
    <row r="1">
      <c r="A1" s="1" t="inlineStr">
        <is>
          <t>Phase budgets: Claude API budget and actual per planning phase</t>
        </is>
      </c>
    </row>
    <row r="2">
      <c r="A2" t="inlineStr">
        <is>
          <t>In USD, at Claude API list prices. The budget each planning phase may spend (test design, governance, diagrams, course corrections ...), set once the epics and sprint plan are done; the epics and sprints carry their own budgets on their sheets. Actual: the phase's Claude cost from the ledger (Claude Usage Detail) once the close-out sheets are in. A control figure: not added to any total. Blue cells are inputs; name a phase as the token ledger does.</t>
        </is>
      </c>
    </row>
    <row r="4">
      <c r="A4" s="3" t="inlineStr">
        <is>
          <t>Phase</t>
        </is>
      </c>
      <c r="B4" s="3" t="inlineStr">
        <is>
          <t>Claude API budget (USD)</t>
        </is>
      </c>
      <c r="C4" s="3" t="inlineStr">
        <is>
          <t>Claude API actual (USD)</t>
        </is>
      </c>
      <c r="D4" s="3" t="inlineStr">
        <is>
          <t>Variance (USD)</t>
        </is>
      </c>
      <c r="E4" s="3" t="inlineStr">
        <is>
          <t>Variance %</t>
        </is>
      </c>
      <c r="F4" s="3" t="inlineStr">
        <is>
          <t>Cited from</t>
        </is>
      </c>
    </row>
    <row r="5">
      <c r="A5" s="15" t="inlineStr">
        <is>
          <t>planning changes (correct course)</t>
        </is>
      </c>
      <c r="B5" s="27" t="n">
        <v>10</v>
      </c>
      <c r="D5" s="30">
        <f>IF(OR(A5="",C5=""),"",C5-N(B5))</f>
        <v/>
      </c>
      <c r="E5" s="29">
        <f>IF(OR(D5="",N(B5)=0),"",C5/B5-1)</f>
        <v/>
      </c>
      <c r="F5" s="25" t="inlineStr">
        <is>
          <t>owner: Dj, 2026-09-28</t>
        </is>
      </c>
    </row>
    <row r="6">
      <c r="A6" s="15" t="inlineStr">
        <is>
          <t>test design</t>
        </is>
      </c>
      <c r="B6" s="27" t="n">
        <v>8</v>
      </c>
      <c r="D6" s="30">
        <f>IF(OR(A6="",C6=""),"",C6-N(B6))</f>
        <v/>
      </c>
      <c r="E6" s="29">
        <f>IF(OR(D6="",N(B6)=0),"",C6/B6-1)</f>
        <v/>
      </c>
      <c r="F6" s="25" t="inlineStr">
        <is>
          <t>owner: Dj, 2026-09-28</t>
        </is>
      </c>
    </row>
    <row r="7">
      <c r="A7" s="15" t="inlineStr">
        <is>
          <t>merges, promotions &amp; deploys</t>
        </is>
      </c>
      <c r="B7" s="27" t="n">
        <v>5</v>
      </c>
      <c r="D7" s="30">
        <f>IF(OR(A7="",C7=""),"",C7-N(B7))</f>
        <v/>
      </c>
      <c r="E7" s="29">
        <f>IF(OR(D7="",N(B7)=0),"",C7/B7-1)</f>
        <v/>
      </c>
      <c r="F7" s="25" t="inlineStr">
        <is>
          <t>owner: Dj, 2026-09-28</t>
        </is>
      </c>
    </row>
    <row r="8">
      <c r="A8" s="15" t="inlineStr">
        <is>
          <t>governance (Jules)</t>
        </is>
      </c>
      <c r="B8" s="27" t="n">
        <v>5</v>
      </c>
      <c r="D8" s="30">
        <f>IF(OR(A8="",C8=""),"",C8-N(B8))</f>
        <v/>
      </c>
      <c r="E8" s="29">
        <f>IF(OR(D8="",N(B8)=0),"",C8/B8-1)</f>
        <v/>
      </c>
      <c r="F8" s="25" t="inlineStr">
        <is>
          <t>owner: Dj, 2026-09-28</t>
        </is>
      </c>
    </row>
    <row r="9">
      <c r="A9" s="15" t="inlineStr">
        <is>
          <t>architecture docs (Da Vinci)</t>
        </is>
      </c>
      <c r="B9" s="27" t="n">
        <v>4</v>
      </c>
      <c r="D9" s="30">
        <f>IF(OR(A9="",C9=""),"",C9-N(B9))</f>
        <v/>
      </c>
      <c r="E9" s="29">
        <f>IF(OR(D9="",N(B9)=0),"",C9/B9-1)</f>
        <v/>
      </c>
      <c r="F9" s="25" t="inlineStr">
        <is>
          <t>owner: Dj, 2026-09-28</t>
        </is>
      </c>
    </row>
    <row r="10">
      <c r="A10" s="15" t="inlineStr">
        <is>
          <t>token reporting</t>
        </is>
      </c>
      <c r="B10" s="27" t="n">
        <v>2</v>
      </c>
      <c r="D10" s="30">
        <f>IF(OR(A10="",C10=""),"",C10-N(B10))</f>
        <v/>
      </c>
      <c r="E10" s="29">
        <f>IF(OR(D10="",N(B10)=0),"",C10/B10-1)</f>
        <v/>
      </c>
      <c r="F10" s="25" t="inlineStr">
        <is>
          <t>owner: Dj, 2026-09-28</t>
        </is>
      </c>
    </row>
    <row r="11">
      <c r="A11" s="15" t="n"/>
      <c r="B11" s="15" t="n"/>
      <c r="D11" s="30">
        <f>IF(OR(A11="",C11=""),"",C11-N(B11))</f>
        <v/>
      </c>
      <c r="E11" s="29">
        <f>IF(OR(D11="",N(B11)=0),"",C11/B11-1)</f>
        <v/>
      </c>
    </row>
    <row r="12">
      <c r="A12" s="15" t="n"/>
      <c r="B12" s="15" t="n"/>
      <c r="D12" s="30">
        <f>IF(OR(A12="",C12=""),"",C12-N(B12))</f>
        <v/>
      </c>
      <c r="E12" s="29">
        <f>IF(OR(D12="",N(B12)=0),"",C12/B12-1)</f>
        <v/>
      </c>
    </row>
    <row r="13">
      <c r="A13" s="15" t="n"/>
      <c r="B13" s="15" t="n"/>
      <c r="D13" s="30">
        <f>IF(OR(A13="",C13=""),"",C13-N(B13))</f>
        <v/>
      </c>
      <c r="E13" s="29">
        <f>IF(OR(D13="",N(B13)=0),"",C13/B13-1)</f>
        <v/>
      </c>
    </row>
    <row r="14">
      <c r="A14" s="16" t="inlineStr">
        <is>
          <t>Total</t>
        </is>
      </c>
      <c r="B14" s="18">
        <f>SUM(B5:B13)</f>
        <v/>
      </c>
      <c r="C14" s="18">
        <f>SUM(C5:C13)</f>
        <v/>
      </c>
      <c r="D14" s="18">
        <f>SUM(D5:D13)</f>
        <v/>
      </c>
      <c r="E14" s="16" t="n"/>
      <c r="F14" s="16"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5" customWidth="1" min="1" max="1"/>
    <col width="30" customWidth="1" min="2" max="2"/>
    <col width="28" customWidth="1" min="3" max="3"/>
    <col width="14" customWidth="1" min="4" max="4"/>
    <col width="14" customWidth="1" min="5" max="5"/>
    <col width="14" customWidth="1" min="6" max="6"/>
    <col width="14" customWidth="1" min="7" max="7"/>
    <col width="14" customWidth="1" min="8" max="8"/>
    <col width="40" customWidth="1" min="9" max="9"/>
    <col width="30" customWidth="1" min="10" max="10"/>
  </cols>
  <sheetData>
    <row r="1">
      <c r="A1" s="1" t="inlineStr">
        <is>
          <t>Revenue</t>
        </is>
      </c>
    </row>
    <row r="2">
      <c r="A2" t="inlineStr">
        <is>
          <t>Revenue the solution earns, per year after go-live, in USD, from the owner or the business case; each stream cites its source. Years past the horizon are ignored. Blue cells are inputs.</t>
        </is>
      </c>
    </row>
    <row r="4">
      <c r="A4" s="3" t="inlineStr">
        <is>
          <t>#</t>
        </is>
      </c>
      <c r="B4" s="3" t="inlineStr">
        <is>
          <t>Stream</t>
        </is>
      </c>
      <c r="C4" s="3" t="inlineStr">
        <is>
          <t>Basis</t>
        </is>
      </c>
      <c r="D4" s="3" t="inlineStr">
        <is>
          <t>Year 1</t>
        </is>
      </c>
      <c r="E4" s="3" t="inlineStr">
        <is>
          <t>Year 2</t>
        </is>
      </c>
      <c r="F4" s="3" t="inlineStr">
        <is>
          <t>Year 3</t>
        </is>
      </c>
      <c r="G4" s="3" t="inlineStr">
        <is>
          <t>Year 4</t>
        </is>
      </c>
      <c r="H4" s="3" t="inlineStr">
        <is>
          <t>Year 5</t>
        </is>
      </c>
      <c r="I4" s="3" t="inlineStr">
        <is>
          <t>Cited from</t>
        </is>
      </c>
      <c r="J4" s="3" t="inlineStr">
        <is>
          <t>Note</t>
        </is>
      </c>
    </row>
    <row r="5">
      <c r="D5" s="15" t="n"/>
      <c r="E5" s="15" t="n"/>
      <c r="F5" s="15" t="n"/>
      <c r="G5" s="15" t="n"/>
      <c r="H5" s="15" t="n"/>
    </row>
    <row r="6">
      <c r="D6" s="15" t="n"/>
      <c r="E6" s="15" t="n"/>
      <c r="F6" s="15" t="n"/>
      <c r="G6" s="15" t="n"/>
      <c r="H6" s="15" t="n"/>
    </row>
    <row r="7">
      <c r="D7" s="15" t="n"/>
      <c r="E7" s="15" t="n"/>
      <c r="F7" s="15" t="n"/>
      <c r="G7" s="15" t="n"/>
      <c r="H7" s="15" t="n"/>
    </row>
    <row r="8">
      <c r="A8" s="16" t="inlineStr">
        <is>
          <t>Total</t>
        </is>
      </c>
      <c r="B8" s="16" t="n"/>
      <c r="C8" s="16" t="n"/>
      <c r="D8" s="18">
        <f>SUM(D5:D7)</f>
        <v/>
      </c>
      <c r="E8" s="18">
        <f>SUM(E5:E7)</f>
        <v/>
      </c>
      <c r="F8" s="18">
        <f>SUM(F5:F7)</f>
        <v/>
      </c>
      <c r="G8" s="18">
        <f>SUM(G5:G7)</f>
        <v/>
      </c>
      <c r="H8" s="18">
        <f>SUM(H5:H7)</f>
        <v/>
      </c>
      <c r="I8" s="16" t="n"/>
      <c r="J8" s="16"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5"/>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50" customWidth="1" min="3" max="3"/>
  </cols>
  <sheetData>
    <row r="1">
      <c r="A1" s="1" t="inlineStr">
        <is>
          <t>Employee rate card</t>
        </is>
      </c>
    </row>
    <row r="2">
      <c r="A2" t="inlineStr">
        <is>
          <t>Day rates in USD. Source: Dj, in chat 2026-09-28: blended average day rate; updated 2026-09-28. Blue cells are inputs; the team and support tables look roles up here.</t>
        </is>
      </c>
    </row>
    <row r="4">
      <c r="A4" s="3" t="inlineStr">
        <is>
          <t>Role</t>
        </is>
      </c>
      <c r="B4" s="3" t="inlineStr">
        <is>
          <t>Day rate (USD)</t>
        </is>
      </c>
      <c r="C4" s="3" t="inlineStr">
        <is>
          <t>Note</t>
        </is>
      </c>
    </row>
    <row r="5">
      <c r="A5" t="inlineStr">
        <is>
          <t>Team member (blended)</t>
        </is>
      </c>
      <c r="B5" s="27" t="n">
        <v>800</v>
      </c>
      <c r="C5" t="inlineStr">
        <is>
          <t>average across roles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 customWidth="1" min="1" max="1"/>
    <col width="36" customWidth="1" min="2" max="2"/>
    <col width="18" customWidth="1" min="3" max="3"/>
    <col width="44" customWidth="1" min="4" max="4"/>
    <col width="30" customWidth="1" min="5" max="5"/>
    <col width="8" customWidth="1" min="6" max="6"/>
  </cols>
  <sheetData>
    <row r="1">
      <c r="A1" s="1" t="inlineStr">
        <is>
          <t>Other one-off costs</t>
        </is>
      </c>
    </row>
    <row r="2">
      <c r="A2" t="inlineStr">
        <is>
          <t>Licences, tests, training and other one-off costs of the build, outside the environments and the team, in USD.</t>
        </is>
      </c>
    </row>
    <row r="4">
      <c r="A4" s="3" t="inlineStr">
        <is>
          <t>#</t>
        </is>
      </c>
      <c r="B4" s="3" t="inlineStr">
        <is>
          <t>Item</t>
        </is>
      </c>
      <c r="C4" s="3" t="inlineStr">
        <is>
          <t>Amount (USD)</t>
        </is>
      </c>
      <c r="D4" s="3" t="inlineStr">
        <is>
          <t>Cited from</t>
        </is>
      </c>
      <c r="E4" s="3" t="inlineStr">
        <is>
          <t>Note</t>
        </is>
      </c>
      <c r="F4" s="3" t="inlineStr">
        <is>
          <t>Epic</t>
        </is>
      </c>
    </row>
    <row r="5">
      <c r="C5" s="15" t="n"/>
      <c r="F5" s="15" t="n"/>
    </row>
    <row r="6">
      <c r="C6" s="15" t="n"/>
      <c r="F6" s="15" t="n"/>
    </row>
    <row r="7">
      <c r="C7" s="15" t="n"/>
      <c r="F7" s="15" t="n"/>
    </row>
    <row r="8">
      <c r="A8" s="16" t="inlineStr">
        <is>
          <t>Total</t>
        </is>
      </c>
      <c r="B8" s="16" t="n"/>
      <c r="C8" s="18">
        <f>SUM(C5:C7)</f>
        <v/>
      </c>
      <c r="D8" s="16" t="n"/>
      <c r="E8" s="16" t="n"/>
      <c r="F8" s="16"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 customWidth="1" min="1" max="1"/>
    <col width="36" customWidth="1" min="2" max="2"/>
    <col width="18" customWidth="1" min="3" max="3"/>
    <col width="44" customWidth="1" min="4" max="4"/>
    <col width="30" customWidth="1" min="5" max="5"/>
    <col width="8" customWidth="1" min="6" max="6"/>
  </cols>
  <sheetData>
    <row r="1">
      <c r="A1" s="1" t="inlineStr">
        <is>
          <t>Recurring run costs (OPEX)</t>
        </is>
      </c>
    </row>
    <row r="2">
      <c r="A2" t="inlineStr">
        <is>
          <t>Yearly costs of running the solution outside the cloud environments and the support team: support contracts, licences, subscriptions. In USD per year; the Multi-Year sheet escalates them by the yearly increase.</t>
        </is>
      </c>
    </row>
    <row r="4">
      <c r="A4" s="3" t="inlineStr">
        <is>
          <t>#</t>
        </is>
      </c>
      <c r="B4" s="3" t="inlineStr">
        <is>
          <t>Item</t>
        </is>
      </c>
      <c r="C4" s="3" t="inlineStr">
        <is>
          <t>Annual cost (USD)</t>
        </is>
      </c>
      <c r="D4" s="3" t="inlineStr">
        <is>
          <t>Cited from</t>
        </is>
      </c>
      <c r="E4" s="3" t="inlineStr">
        <is>
          <t>Note</t>
        </is>
      </c>
    </row>
    <row r="5">
      <c r="C5" s="15" t="n"/>
    </row>
    <row r="6">
      <c r="C6" s="15" t="n"/>
    </row>
    <row r="7">
      <c r="C7" s="15" t="n"/>
    </row>
    <row r="8">
      <c r="A8" s="16" t="inlineStr">
        <is>
          <t>Total</t>
        </is>
      </c>
      <c r="B8" s="16" t="n"/>
      <c r="C8" s="18">
        <f>SUM(C5:C7)</f>
        <v/>
      </c>
      <c r="D8" s="16" t="n"/>
      <c r="E8" s="16"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12"/>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Shared environment</t>
        </is>
      </c>
    </row>
    <row r="2">
      <c r="A2" t="inlineStr">
        <is>
          <t>Azure retail list prices (pay-as-you-go) in southeastasia,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PostgreSQL Flexible Server compute</t>
        </is>
      </c>
      <c r="C5" t="inlineStr">
        <is>
          <t>Azure Database for PostgreSQL</t>
        </is>
      </c>
      <c r="D5" t="inlineStr">
        <is>
          <t>Burstable B1ms</t>
        </is>
      </c>
      <c r="E5" t="inlineStr">
        <is>
          <t>1 Hour</t>
        </is>
      </c>
      <c r="F5" s="34" t="n">
        <v>0.026</v>
      </c>
      <c r="G5" s="4" t="n">
        <v>1</v>
      </c>
      <c r="H5" s="4" t="n">
        <v>261</v>
      </c>
      <c r="I5" s="14">
        <f>F5*G5*H5*FxRate</f>
        <v/>
      </c>
      <c r="J5" s="14">
        <f>I5*12/365</f>
        <v/>
      </c>
      <c r="K5" s="14">
        <f>I5*12</f>
        <v/>
      </c>
      <c r="L5" s="25" t="inlineStr">
        <is>
          <t>_bmad-output/planning-artifacts/architecture/architecture-ocrinvoicing-2026-09-28/ARCHITECTURE-SPINE.md AD-12</t>
        </is>
      </c>
      <c r="M5" s="25" t="inlineStr">
        <is>
          <t>Azure Retail Prices API, Azure Database for PostgreSQL Flexible Server Burstable BS Series Compute / B1MS, southeastasia, USD per 1 Hour, meterId caa13868-6d59-5b82-ae7a-765904be9712, fetched 2026-09-28</t>
        </is>
      </c>
      <c r="N5" s="25" t="inlineStr">
        <is>
          <t>AD-12 [ASSUMPTION] up-hours weekdays 09:00-21:00 SGT = ~261 h/month; stopped by hand otherwise</t>
        </is>
      </c>
      <c r="O5" t="inlineStr">
        <is>
          <t>Shared</t>
        </is>
      </c>
    </row>
    <row r="6">
      <c r="A6" t="n">
        <v>2</v>
      </c>
      <c r="B6" t="inlineStr">
        <is>
          <t>PostgreSQL storage</t>
        </is>
      </c>
      <c r="C6" t="inlineStr">
        <is>
          <t>Azure Database for PostgreSQL</t>
        </is>
      </c>
      <c r="D6" t="inlineStr">
        <is>
          <t>Flex Server Storage</t>
        </is>
      </c>
      <c r="E6" t="inlineStr">
        <is>
          <t>1 GB/Month</t>
        </is>
      </c>
      <c r="F6" s="34" t="n">
        <v>0.138</v>
      </c>
      <c r="G6" s="4" t="n">
        <v>32</v>
      </c>
      <c r="H6" s="4" t="n">
        <v>1</v>
      </c>
      <c r="I6" s="14">
        <f>F6*G6*H6*FxRate</f>
        <v/>
      </c>
      <c r="J6" s="14">
        <f>I6*12/365</f>
        <v/>
      </c>
      <c r="K6" s="14">
        <f>I6*12</f>
        <v/>
      </c>
      <c r="L6" s="25" t="inlineStr">
        <is>
          <t>_bmad-output/planning-artifacts/architecture/architecture-ocrinvoicing-2026-09-28/ARCHITECTURE-SPINE.md AD-12</t>
        </is>
      </c>
      <c r="M6" s="25" t="inlineStr">
        <is>
          <t>Azure Retail Prices API, Azure Database for PostgreSQL Flex Server Storage / Storage Data Stored, southeastasia, USD per 1 GB/Month, meterId 3dc8bdb7-8a94-5ffe-8836-6e80a540f61f, fetched 2026-09-28</t>
        </is>
      </c>
      <c r="N6" s="25" t="inlineStr">
        <is>
          <t>32 GB, billed while stopped; 7-day LRS backup within free allowance</t>
        </is>
      </c>
      <c r="O6" t="inlineStr">
        <is>
          <t>Shared</t>
        </is>
      </c>
    </row>
    <row r="7">
      <c r="A7" t="n">
        <v>3</v>
      </c>
      <c r="B7" t="inlineStr">
        <is>
          <t>Document Intelligence</t>
        </is>
      </c>
      <c r="C7" t="inlineStr">
        <is>
          <t>Cognitive Services</t>
        </is>
      </c>
      <c r="D7" t="inlineStr">
        <is>
          <t>F0 (free)</t>
        </is>
      </c>
      <c r="E7" t="inlineStr">
        <is>
          <t>1K pages</t>
        </is>
      </c>
      <c r="F7" s="34" t="n">
        <v>0</v>
      </c>
      <c r="G7" s="4" t="n">
        <v>1</v>
      </c>
      <c r="H7" s="4" t="n">
        <v>0.5</v>
      </c>
      <c r="I7" s="14">
        <f>F7*G7*H7*FxRate</f>
        <v/>
      </c>
      <c r="J7" s="14">
        <f>I7*12/365</f>
        <v/>
      </c>
      <c r="K7" s="14">
        <f>I7*12</f>
        <v/>
      </c>
      <c r="L7" s="25" t="inlineStr">
        <is>
          <t>_bmad-output/planning-artifacts/architecture/architecture-ocrinvoicing-2026-09-28/ARCHITECTURE-SPINE.md AD-8</t>
        </is>
      </c>
      <c r="M7" s="25" t="inlineStr">
        <is>
          <t>Free tier F0: $0 per AD-8; S0 would be $10 per 1,000 pages (not looked up)</t>
        </is>
      </c>
      <c r="N7" s="25" t="inlineStr">
        <is>
          <t>500 pages/month cap shared by Dev and Prod</t>
        </is>
      </c>
      <c r="O7" t="inlineStr">
        <is>
          <t>Shared</t>
        </is>
      </c>
    </row>
    <row r="8">
      <c r="A8" t="n">
        <v>4</v>
      </c>
      <c r="B8" t="inlineStr">
        <is>
          <t>ACS Email</t>
        </is>
      </c>
      <c r="C8" t="inlineStr">
        <is>
          <t>Email</t>
        </is>
      </c>
      <c r="D8" t="inlineStr">
        <is>
          <t>Basic, sent email</t>
        </is>
      </c>
      <c r="E8" t="inlineStr">
        <is>
          <t>1</t>
        </is>
      </c>
      <c r="F8" s="34" t="n">
        <v>0.00025</v>
      </c>
      <c r="G8" s="4" t="n">
        <v>1</v>
      </c>
      <c r="H8" s="4" t="n">
        <v>250</v>
      </c>
      <c r="I8" s="14">
        <f>F8*G8*H8*FxRate</f>
        <v/>
      </c>
      <c r="J8" s="14">
        <f>I8*12/365</f>
        <v/>
      </c>
      <c r="K8" s="14">
        <f>I8*12</f>
        <v/>
      </c>
      <c r="L8" s="25" t="inlineStr">
        <is>
          <t>_bmad-output/planning-artifacts/architecture/architecture-ocrinvoicing-2026-09-28/ARCHITECTURE-SPINE.md AD-16</t>
        </is>
      </c>
      <c r="M8" s="25" t="inlineStr">
        <is>
          <t>Azure Retail Prices API, Email / Basic Sent Email, southeastasia, USD per 1, meterId 91348e14-8d9f-561e-ba5e-06be5a2c7a89, fetched 2026-09-28</t>
        </is>
      </c>
      <c r="N8" s="25" t="inlineStr">
        <is>
          <t>assumption: ~250 alert emails a month across Dev and Prod</t>
        </is>
      </c>
      <c r="O8" t="inlineStr">
        <is>
          <t>Shared</t>
        </is>
      </c>
    </row>
    <row r="9">
      <c r="F9" s="15" t="n"/>
      <c r="G9" s="15" t="n"/>
      <c r="H9" s="15" t="n"/>
      <c r="I9" s="14">
        <f>IF(F9="","",F9*G9*H9*FxRate)</f>
        <v/>
      </c>
      <c r="J9" s="14">
        <f>IF(I9="","",I9*12/365)</f>
        <v/>
      </c>
      <c r="K9" s="14">
        <f>IF(I9="","",I9*12)</f>
        <v/>
      </c>
      <c r="O9" t="inlineStr">
        <is>
          <t>Shared</t>
        </is>
      </c>
    </row>
    <row r="10">
      <c r="F10" s="15" t="n"/>
      <c r="G10" s="15" t="n"/>
      <c r="H10" s="15" t="n"/>
      <c r="I10" s="14">
        <f>IF(F10="","",F10*G10*H10*FxRate)</f>
        <v/>
      </c>
      <c r="J10" s="14">
        <f>IF(I10="","",I10*12/365)</f>
        <v/>
      </c>
      <c r="K10" s="14">
        <f>IF(I10="","",I10*12)</f>
        <v/>
      </c>
      <c r="O10" t="inlineStr">
        <is>
          <t>Shared</t>
        </is>
      </c>
    </row>
    <row r="11">
      <c r="F11" s="15" t="n"/>
      <c r="G11" s="15" t="n"/>
      <c r="H11" s="15" t="n"/>
      <c r="I11" s="14">
        <f>IF(F11="","",F11*G11*H11*FxRate)</f>
        <v/>
      </c>
      <c r="J11" s="14">
        <f>IF(I11="","",I11*12/365)</f>
        <v/>
      </c>
      <c r="K11" s="14">
        <f>IF(I11="","",I11*12)</f>
        <v/>
      </c>
      <c r="O11" t="inlineStr">
        <is>
          <t>Shared</t>
        </is>
      </c>
    </row>
    <row r="12">
      <c r="A12" s="16" t="inlineStr">
        <is>
          <t>Total</t>
        </is>
      </c>
      <c r="B12" s="16" t="n"/>
      <c r="C12" s="16" t="n"/>
      <c r="D12" s="16" t="n"/>
      <c r="E12" s="16" t="n"/>
      <c r="F12" s="16" t="n"/>
      <c r="G12" s="16" t="n"/>
      <c r="H12" s="16" t="n"/>
      <c r="I12" s="18">
        <f>SUM(I5:I11)</f>
        <v/>
      </c>
      <c r="J12" s="18">
        <f>SUM(J5:J11)</f>
        <v/>
      </c>
      <c r="K12" s="18">
        <f>SUM(K5:K11)</f>
        <v/>
      </c>
      <c r="L12" s="16" t="n"/>
      <c r="M12" s="16" t="n"/>
      <c r="N12" s="16" t="n"/>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1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Dev environment</t>
        </is>
      </c>
    </row>
    <row r="2">
      <c r="A2" t="inlineStr">
        <is>
          <t>Azure retail list prices (pay-as-you-go) in southeastasia,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Stage queues</t>
        </is>
      </c>
      <c r="C5" t="inlineStr">
        <is>
          <t>Storage</t>
        </is>
      </c>
      <c r="D5" t="inlineStr">
        <is>
          <t>Queues v2 Standard LRS, Class 1 operations</t>
        </is>
      </c>
      <c r="E5" t="inlineStr">
        <is>
          <t>10K</t>
        </is>
      </c>
      <c r="F5" s="34" t="n">
        <v>0.004</v>
      </c>
      <c r="G5" s="4" t="n">
        <v>1</v>
      </c>
      <c r="H5" s="4" t="n">
        <v>30</v>
      </c>
      <c r="I5" s="14">
        <f>F5*G5*H5*FxRate</f>
        <v/>
      </c>
      <c r="J5" s="14">
        <f>I5*12/365</f>
        <v/>
      </c>
      <c r="K5" s="14">
        <f>I5*12</f>
        <v/>
      </c>
      <c r="L5" s="25" t="inlineStr">
        <is>
          <t>_bmad-output/planning-artifacts/architecture/architecture-ocrinvoicing-2026-09-28/ARCHITECTURE-SPINE.md AD-2</t>
        </is>
      </c>
      <c r="M5" s="25" t="inlineStr">
        <is>
          <t>Azure Retail Prices API, Queues v2 / LRS Class 1 Operations, southeastasia, USD per 10K, meterId a7193db3-642b-4d6f-ad03-ed5f00153bbd, fetched 2026-09-28</t>
        </is>
      </c>
      <c r="N5" s="25" t="inlineStr">
        <is>
          <t>assumption: ~300K ops/month from queue-trigger polling, matching AD-2's ~$0.12/month</t>
        </is>
      </c>
      <c r="O5" t="inlineStr">
        <is>
          <t>Dev</t>
        </is>
      </c>
    </row>
    <row r="6">
      <c r="A6" t="n">
        <v>2</v>
      </c>
      <c r="B6" t="inlineStr">
        <is>
          <t>Blobs: images, corrections (30-day)</t>
        </is>
      </c>
      <c r="C6" t="inlineStr">
        <is>
          <t>Storage</t>
        </is>
      </c>
      <c r="D6" t="inlineStr">
        <is>
          <t>Block Blob v2 Hot LRS</t>
        </is>
      </c>
      <c r="E6" t="inlineStr">
        <is>
          <t>1 GB/Month</t>
        </is>
      </c>
      <c r="F6" s="34" t="n">
        <v>0.02</v>
      </c>
      <c r="G6" s="4" t="n">
        <v>1</v>
      </c>
      <c r="H6" s="4" t="n">
        <v>1</v>
      </c>
      <c r="I6" s="14">
        <f>F6*G6*H6*FxRate</f>
        <v/>
      </c>
      <c r="J6" s="14">
        <f>I6*12/365</f>
        <v/>
      </c>
      <c r="K6" s="14">
        <f>I6*12</f>
        <v/>
      </c>
      <c r="L6" s="25" t="inlineStr">
        <is>
          <t>_bmad-output/planning-artifacts/architecture/architecture-ocrinvoicing-2026-09-28/ARCHITECTURE-SPINE.md AD-15</t>
        </is>
      </c>
      <c r="M6" s="25" t="inlineStr">
        <is>
          <t>Azure Retail Prices API, General Block Blob v2 / Hot LRS Data Stored, southeastasia, USD per 1 GB/Month, meterId fc203689-76e7-4fbe-86b9-968d73231c00, fetched 2026-09-28</t>
        </is>
      </c>
      <c r="N6" s="25" t="inlineStr">
        <is>
          <t>assumption: 1 GB held under 30-day lifecycle (DI page cap bounds volume, AD-8)</t>
        </is>
      </c>
      <c r="O6" t="inlineStr">
        <is>
          <t>Dev</t>
        </is>
      </c>
    </row>
    <row r="7">
      <c r="A7" t="n">
        <v>3</v>
      </c>
      <c r="B7" t="inlineStr">
        <is>
          <t>Tables: links, keys, reminders</t>
        </is>
      </c>
      <c r="C7" t="inlineStr">
        <is>
          <t>Storage</t>
        </is>
      </c>
      <c r="D7" t="inlineStr">
        <is>
          <t>Tables Standard LRS</t>
        </is>
      </c>
      <c r="E7" t="inlineStr">
        <is>
          <t>1 GB/Month</t>
        </is>
      </c>
      <c r="F7" s="34" t="n">
        <v>0.045</v>
      </c>
      <c r="G7" s="4" t="n">
        <v>1</v>
      </c>
      <c r="H7" s="4" t="n">
        <v>0.1</v>
      </c>
      <c r="I7" s="14">
        <f>F7*G7*H7*FxRate</f>
        <v/>
      </c>
      <c r="J7" s="14">
        <f>I7*12/365</f>
        <v/>
      </c>
      <c r="K7" s="14">
        <f>I7*12</f>
        <v/>
      </c>
      <c r="L7" s="25" t="inlineStr">
        <is>
          <t>_bmad-output/planning-artifacts/architecture/architecture-ocrinvoicing-2026-09-28/ARCHITECTURE-SPINE.md AD-6</t>
        </is>
      </c>
      <c r="M7" s="25" t="inlineStr">
        <is>
          <t>Azure Retail Prices API, Tables / LRS Data Stored, southeastasia, USD per 1 GB/Month, meterId 3f2b1e1c-c886-4ec6-ad6f-dd0ef38819c9, fetched 2026-09-28</t>
        </is>
      </c>
      <c r="N7" s="25" t="inlineStr">
        <is>
          <t>assumption: under 0.1 GB</t>
        </is>
      </c>
      <c r="O7" t="inlineStr">
        <is>
          <t>Dev</t>
        </is>
      </c>
    </row>
    <row r="8">
      <c r="A8" t="n">
        <v>4</v>
      </c>
      <c r="B8" t="inlineStr">
        <is>
          <t>Key Vault</t>
        </is>
      </c>
      <c r="C8" t="inlineStr">
        <is>
          <t>Key Vault</t>
        </is>
      </c>
      <c r="D8" t="inlineStr">
        <is>
          <t>Standard, operations</t>
        </is>
      </c>
      <c r="E8" t="inlineStr">
        <is>
          <t>10K</t>
        </is>
      </c>
      <c r="F8" s="34" t="n">
        <v>0.03</v>
      </c>
      <c r="G8" s="4" t="n">
        <v>1</v>
      </c>
      <c r="H8" s="4" t="n">
        <v>0.5</v>
      </c>
      <c r="I8" s="14">
        <f>F8*G8*H8*FxRate</f>
        <v/>
      </c>
      <c r="J8" s="14">
        <f>I8*12/365</f>
        <v/>
      </c>
      <c r="K8" s="14">
        <f>I8*12</f>
        <v/>
      </c>
      <c r="L8" s="25" t="inlineStr">
        <is>
          <t>_bmad-output/planning-artifacts/architecture/architecture-ocrinvoicing-2026-09-28/ARCHITECTURE-SPINE.md AD-11</t>
        </is>
      </c>
      <c r="M8" s="25" t="inlineStr">
        <is>
          <t>Azure Retail Prices API, Key Vault / Operations, southeastasia, USD per 10K, meterId 0f824807-2376-435c-95c9-f992b67a07b0, fetched 2026-09-28</t>
        </is>
      </c>
      <c r="N8" s="25" t="inlineStr">
        <is>
          <t>assumption: ~5K secret reads a month</t>
        </is>
      </c>
      <c r="O8" t="inlineStr">
        <is>
          <t>Dev</t>
        </is>
      </c>
    </row>
    <row r="9">
      <c r="A9" t="n">
        <v>5</v>
      </c>
      <c r="B9" t="inlineStr">
        <is>
          <t>Metric alerts</t>
        </is>
      </c>
      <c r="C9" t="inlineStr">
        <is>
          <t>Azure Monitor</t>
        </is>
      </c>
      <c r="D9" t="inlineStr">
        <is>
          <t>Alerts Metric Monitored, beyond first 10 free</t>
        </is>
      </c>
      <c r="E9" t="inlineStr">
        <is>
          <t>1/Month</t>
        </is>
      </c>
      <c r="F9" s="34" t="n">
        <v>0.1</v>
      </c>
      <c r="G9" s="4" t="n">
        <v>5</v>
      </c>
      <c r="H9" s="4" t="n">
        <v>1</v>
      </c>
      <c r="I9" s="14">
        <f>F9*G9*H9*FxRate</f>
        <v/>
      </c>
      <c r="J9" s="14">
        <f>I9*12/365</f>
        <v/>
      </c>
      <c r="K9" s="14">
        <f>I9*12</f>
        <v/>
      </c>
      <c r="L9" s="25" t="inlineStr">
        <is>
          <t>_bmad-output/planning-artifacts/architecture/architecture-ocrinvoicing-2026-09-28/ARCHITECTURE-SPINE.md AD-17</t>
        </is>
      </c>
      <c r="M9" s="25" t="inlineStr">
        <is>
          <t>Azure Retail Prices API, Azure Monitor / Alerts Metric Monitored, southeastasia, USD per 1/Month, meterId 6860c782-bbcc-41ed-a218-fb308dd0942e, fetched 2026-09-28</t>
        </is>
      </c>
      <c r="N9" s="25" t="inlineStr">
        <is>
          <t>assumption: ~10 time series per env (poison_message x 8 queues, stuck_invoices, di_pages_used_pct); first 10 per subscription free, half billed here</t>
        </is>
      </c>
      <c r="O9" t="inlineStr">
        <is>
          <t>Dev</t>
        </is>
      </c>
    </row>
    <row r="10">
      <c r="A10" t="n">
        <v>6</v>
      </c>
      <c r="B10" t="inlineStr">
        <is>
          <t>Log Analytics + App Insights</t>
        </is>
      </c>
      <c r="C10" t="inlineStr">
        <is>
          <t>Log Analytics</t>
        </is>
      </c>
      <c r="D10" t="inlineStr">
        <is>
          <t>Analytics Logs ingestion, within 5 GB free</t>
        </is>
      </c>
      <c r="E10" t="inlineStr">
        <is>
          <t>1 GB</t>
        </is>
      </c>
      <c r="F10" s="34" t="n">
        <v>0</v>
      </c>
      <c r="G10" s="4" t="n">
        <v>1</v>
      </c>
      <c r="H10" s="4" t="n">
        <v>2.4</v>
      </c>
      <c r="I10" s="14">
        <f>F10*G10*H10*FxRate</f>
        <v/>
      </c>
      <c r="J10" s="14">
        <f>I10*12/365</f>
        <v/>
      </c>
      <c r="K10" s="14">
        <f>I10*12</f>
        <v/>
      </c>
      <c r="L10" s="25" t="inlineStr">
        <is>
          <t>_bmad-output/planning-artifacts/architecture/architecture-ocrinvoicing-2026-09-28/ARCHITECTURE-SPINE.md AD-17</t>
        </is>
      </c>
      <c r="M10" s="25" t="inlineStr">
        <is>
          <t>Azure Retail Prices API, Log Analytics / Analytics Logs Data Ingestion, southeastasia, USD per 1 GB, meterId 7a4feecb-f730-49f8-a801-efe03d15b862, fetched 2026-09-28</t>
        </is>
      </c>
      <c r="N10" s="25" t="inlineStr">
        <is>
          <t>0.08 GB/day cap = 2.4 GB/month; both envs 4.8 GB, inside the 5 GB free tier (AD-17)</t>
        </is>
      </c>
      <c r="O10" t="inlineStr">
        <is>
          <t>Dev</t>
        </is>
      </c>
    </row>
    <row r="11">
      <c r="F11" s="15" t="n"/>
      <c r="G11" s="15" t="n"/>
      <c r="H11" s="15" t="n"/>
      <c r="I11" s="14">
        <f>IF(F11="","",F11*G11*H11*FxRate)</f>
        <v/>
      </c>
      <c r="J11" s="14">
        <f>IF(I11="","",I11*12/365)</f>
        <v/>
      </c>
      <c r="K11" s="14">
        <f>IF(I11="","",I11*12)</f>
        <v/>
      </c>
      <c r="O11" t="inlineStr">
        <is>
          <t>Dev</t>
        </is>
      </c>
    </row>
    <row r="12">
      <c r="F12" s="15" t="n"/>
      <c r="G12" s="15" t="n"/>
      <c r="H12" s="15" t="n"/>
      <c r="I12" s="14">
        <f>IF(F12="","",F12*G12*H12*FxRate)</f>
        <v/>
      </c>
      <c r="J12" s="14">
        <f>IF(I12="","",I12*12/365)</f>
        <v/>
      </c>
      <c r="K12" s="14">
        <f>IF(I12="","",I12*12)</f>
        <v/>
      </c>
      <c r="O12" t="inlineStr">
        <is>
          <t>Dev</t>
        </is>
      </c>
    </row>
    <row r="13">
      <c r="F13" s="15" t="n"/>
      <c r="G13" s="15" t="n"/>
      <c r="H13" s="15" t="n"/>
      <c r="I13" s="14">
        <f>IF(F13="","",F13*G13*H13*FxRate)</f>
        <v/>
      </c>
      <c r="J13" s="14">
        <f>IF(I13="","",I13*12/365)</f>
        <v/>
      </c>
      <c r="K13" s="14">
        <f>IF(I13="","",I13*12)</f>
        <v/>
      </c>
      <c r="O13" t="inlineStr">
        <is>
          <t>Dev</t>
        </is>
      </c>
    </row>
    <row r="14">
      <c r="A14" s="16" t="inlineStr">
        <is>
          <t>Total</t>
        </is>
      </c>
      <c r="B14" s="16" t="n"/>
      <c r="C14" s="16" t="n"/>
      <c r="D14" s="16" t="n"/>
      <c r="E14" s="16" t="n"/>
      <c r="F14" s="16" t="n"/>
      <c r="G14" s="16" t="n"/>
      <c r="H14" s="16" t="n"/>
      <c r="I14" s="18">
        <f>SUM(I5:I13)</f>
        <v/>
      </c>
      <c r="J14" s="18">
        <f>SUM(J5:J13)</f>
        <v/>
      </c>
      <c r="K14" s="18">
        <f>SUM(K5:K13)</f>
        <v/>
      </c>
      <c r="L14" s="16" t="n"/>
      <c r="M14" s="16" t="n"/>
      <c r="N14" s="16" t="n"/>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O1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6" customWidth="1" min="3" max="3"/>
    <col width="24" customWidth="1" min="4" max="4"/>
    <col width="12" customWidth="1" min="5" max="5"/>
    <col width="14" customWidth="1" min="6" max="6"/>
    <col width="10" customWidth="1" min="7" max="7"/>
    <col width="12" customWidth="1" min="8" max="8"/>
    <col width="16" customWidth="1" min="9" max="9"/>
    <col width="14" customWidth="1" min="10" max="10"/>
    <col width="16" customWidth="1" min="11" max="11"/>
    <col width="40" customWidth="1" min="12" max="12"/>
    <col width="48" customWidth="1" min="13" max="13"/>
    <col width="30" customWidth="1" min="14" max="14"/>
    <col width="14" customWidth="1" min="15" max="15"/>
  </cols>
  <sheetData>
    <row r="1">
      <c r="A1" s="1" t="inlineStr">
        <is>
          <t>Prod environment</t>
        </is>
      </c>
    </row>
    <row r="2">
      <c r="A2" t="inlineStr">
        <is>
          <t>Azure retail list prices (pay-as-you-go) in southeastasia, USD, fetched 2026-09-28. Daily cost is the monthly cost spread over the year (x 12 / 365). Blue cells are inputs.</t>
        </is>
      </c>
    </row>
    <row r="4">
      <c r="A4" s="3" t="inlineStr">
        <is>
          <t>#</t>
        </is>
      </c>
      <c r="B4" s="3" t="inlineStr">
        <is>
          <t>Component</t>
        </is>
      </c>
      <c r="C4" s="3" t="inlineStr">
        <is>
          <t>Azure service</t>
        </is>
      </c>
      <c r="D4" s="3" t="inlineStr">
        <is>
          <t>SKU / tier</t>
        </is>
      </c>
      <c r="E4" s="3" t="inlineStr">
        <is>
          <t>Unit</t>
        </is>
      </c>
      <c r="F4" s="3" t="inlineStr">
        <is>
          <t>Unit price (USD)</t>
        </is>
      </c>
      <c r="G4" s="3" t="inlineStr">
        <is>
          <t>Quantity</t>
        </is>
      </c>
      <c r="H4" s="3" t="inlineStr">
        <is>
          <t>Usage per month</t>
        </is>
      </c>
      <c r="I4" s="3" t="inlineStr">
        <is>
          <t>Monthly cost (USD)</t>
        </is>
      </c>
      <c r="J4" s="3" t="inlineStr">
        <is>
          <t>Daily cost (USD)</t>
        </is>
      </c>
      <c r="K4" s="3" t="inlineStr">
        <is>
          <t>Annual cost (USD)</t>
        </is>
      </c>
      <c r="L4" s="3" t="inlineStr">
        <is>
          <t>Cited from</t>
        </is>
      </c>
      <c r="M4" s="3" t="inlineStr">
        <is>
          <t>Price source</t>
        </is>
      </c>
      <c r="N4" s="3" t="inlineStr">
        <is>
          <t>Note</t>
        </is>
      </c>
      <c r="O4" s="3" t="inlineStr">
        <is>
          <t>Environment</t>
        </is>
      </c>
    </row>
    <row r="5">
      <c r="A5" t="n">
        <v>1</v>
      </c>
      <c r="B5" t="inlineStr">
        <is>
          <t>Stage queues</t>
        </is>
      </c>
      <c r="C5" t="inlineStr">
        <is>
          <t>Storage</t>
        </is>
      </c>
      <c r="D5" t="inlineStr">
        <is>
          <t>Queues v2 Standard LRS, Class 1 operations</t>
        </is>
      </c>
      <c r="E5" t="inlineStr">
        <is>
          <t>10K</t>
        </is>
      </c>
      <c r="F5" s="34" t="n">
        <v>0.004</v>
      </c>
      <c r="G5" s="4" t="n">
        <v>1</v>
      </c>
      <c r="H5" s="4" t="n">
        <v>30</v>
      </c>
      <c r="I5" s="14">
        <f>F5*G5*H5*FxRate</f>
        <v/>
      </c>
      <c r="J5" s="14">
        <f>I5*12/365</f>
        <v/>
      </c>
      <c r="K5" s="14">
        <f>I5*12</f>
        <v/>
      </c>
      <c r="L5" s="25" t="inlineStr">
        <is>
          <t>_bmad-output/planning-artifacts/architecture/architecture-ocrinvoicing-2026-09-28/ARCHITECTURE-SPINE.md AD-2</t>
        </is>
      </c>
      <c r="M5" s="25" t="inlineStr">
        <is>
          <t>Azure Retail Prices API, Queues v2 / LRS Class 1 Operations, southeastasia, USD per 10K, meterId a7193db3-642b-4d6f-ad03-ed5f00153bbd, fetched 2026-09-28</t>
        </is>
      </c>
      <c r="N5" s="25" t="inlineStr">
        <is>
          <t>assumption: ~300K ops/month from queue-trigger polling, matching AD-2's ~$0.12/month</t>
        </is>
      </c>
      <c r="O5" t="inlineStr">
        <is>
          <t>Prod</t>
        </is>
      </c>
    </row>
    <row r="6">
      <c r="A6" t="n">
        <v>2</v>
      </c>
      <c r="B6" t="inlineStr">
        <is>
          <t>Blobs: images, corrections (30-day)</t>
        </is>
      </c>
      <c r="C6" t="inlineStr">
        <is>
          <t>Storage</t>
        </is>
      </c>
      <c r="D6" t="inlineStr">
        <is>
          <t>Block Blob v2 Hot LRS</t>
        </is>
      </c>
      <c r="E6" t="inlineStr">
        <is>
          <t>1 GB/Month</t>
        </is>
      </c>
      <c r="F6" s="34" t="n">
        <v>0.02</v>
      </c>
      <c r="G6" s="4" t="n">
        <v>2</v>
      </c>
      <c r="H6" s="4" t="n">
        <v>1</v>
      </c>
      <c r="I6" s="14">
        <f>F6*G6*H6*FxRate</f>
        <v/>
      </c>
      <c r="J6" s="14">
        <f>I6*12/365</f>
        <v/>
      </c>
      <c r="K6" s="14">
        <f>I6*12</f>
        <v/>
      </c>
      <c r="L6" s="25" t="inlineStr">
        <is>
          <t>_bmad-output/planning-artifacts/architecture/architecture-ocrinvoicing-2026-09-28/ARCHITECTURE-SPINE.md AD-15</t>
        </is>
      </c>
      <c r="M6" s="25" t="inlineStr">
        <is>
          <t>Azure Retail Prices API, General Block Blob v2 / Hot LRS Data Stored, southeastasia, USD per 1 GB/Month, meterId fc203689-76e7-4fbe-86b9-968d73231c00, fetched 2026-09-28</t>
        </is>
      </c>
      <c r="N6" s="25" t="inlineStr">
        <is>
          <t>assumption: 2 GB held under 30-day lifecycle (DI page cap bounds volume, AD-8)</t>
        </is>
      </c>
      <c r="O6" t="inlineStr">
        <is>
          <t>Prod</t>
        </is>
      </c>
    </row>
    <row r="7">
      <c r="A7" t="n">
        <v>3</v>
      </c>
      <c r="B7" t="inlineStr">
        <is>
          <t>Tables: links, keys, reminders</t>
        </is>
      </c>
      <c r="C7" t="inlineStr">
        <is>
          <t>Storage</t>
        </is>
      </c>
      <c r="D7" t="inlineStr">
        <is>
          <t>Tables Standard LRS</t>
        </is>
      </c>
      <c r="E7" t="inlineStr">
        <is>
          <t>1 GB/Month</t>
        </is>
      </c>
      <c r="F7" s="34" t="n">
        <v>0.045</v>
      </c>
      <c r="G7" s="4" t="n">
        <v>1</v>
      </c>
      <c r="H7" s="4" t="n">
        <v>0.1</v>
      </c>
      <c r="I7" s="14">
        <f>F7*G7*H7*FxRate</f>
        <v/>
      </c>
      <c r="J7" s="14">
        <f>I7*12/365</f>
        <v/>
      </c>
      <c r="K7" s="14">
        <f>I7*12</f>
        <v/>
      </c>
      <c r="L7" s="25" t="inlineStr">
        <is>
          <t>_bmad-output/planning-artifacts/architecture/architecture-ocrinvoicing-2026-09-28/ARCHITECTURE-SPINE.md AD-6</t>
        </is>
      </c>
      <c r="M7" s="25" t="inlineStr">
        <is>
          <t>Azure Retail Prices API, Tables / LRS Data Stored, southeastasia, USD per 1 GB/Month, meterId 3f2b1e1c-c886-4ec6-ad6f-dd0ef38819c9, fetched 2026-09-28</t>
        </is>
      </c>
      <c r="N7" s="25" t="inlineStr">
        <is>
          <t>assumption: under 0.1 GB</t>
        </is>
      </c>
      <c r="O7" t="inlineStr">
        <is>
          <t>Prod</t>
        </is>
      </c>
    </row>
    <row r="8">
      <c r="A8" t="n">
        <v>4</v>
      </c>
      <c r="B8" t="inlineStr">
        <is>
          <t>Key Vault</t>
        </is>
      </c>
      <c r="C8" t="inlineStr">
        <is>
          <t>Key Vault</t>
        </is>
      </c>
      <c r="D8" t="inlineStr">
        <is>
          <t>Standard, operations</t>
        </is>
      </c>
      <c r="E8" t="inlineStr">
        <is>
          <t>10K</t>
        </is>
      </c>
      <c r="F8" s="34" t="n">
        <v>0.03</v>
      </c>
      <c r="G8" s="4" t="n">
        <v>1</v>
      </c>
      <c r="H8" s="4" t="n">
        <v>0.5</v>
      </c>
      <c r="I8" s="14">
        <f>F8*G8*H8*FxRate</f>
        <v/>
      </c>
      <c r="J8" s="14">
        <f>I8*12/365</f>
        <v/>
      </c>
      <c r="K8" s="14">
        <f>I8*12</f>
        <v/>
      </c>
      <c r="L8" s="25" t="inlineStr">
        <is>
          <t>_bmad-output/planning-artifacts/architecture/architecture-ocrinvoicing-2026-09-28/ARCHITECTURE-SPINE.md AD-11</t>
        </is>
      </c>
      <c r="M8" s="25" t="inlineStr">
        <is>
          <t>Azure Retail Prices API, Key Vault / Operations, southeastasia, USD per 10K, meterId 0f824807-2376-435c-95c9-f992b67a07b0, fetched 2026-09-28</t>
        </is>
      </c>
      <c r="N8" s="25" t="inlineStr">
        <is>
          <t>assumption: ~5K secret reads a month</t>
        </is>
      </c>
      <c r="O8" t="inlineStr">
        <is>
          <t>Prod</t>
        </is>
      </c>
    </row>
    <row r="9">
      <c r="A9" t="n">
        <v>5</v>
      </c>
      <c r="B9" t="inlineStr">
        <is>
          <t>Metric alerts</t>
        </is>
      </c>
      <c r="C9" t="inlineStr">
        <is>
          <t>Azure Monitor</t>
        </is>
      </c>
      <c r="D9" t="inlineStr">
        <is>
          <t>Alerts Metric Monitored, beyond first 10 free</t>
        </is>
      </c>
      <c r="E9" t="inlineStr">
        <is>
          <t>1/Month</t>
        </is>
      </c>
      <c r="F9" s="34" t="n">
        <v>0.1</v>
      </c>
      <c r="G9" s="4" t="n">
        <v>5</v>
      </c>
      <c r="H9" s="4" t="n">
        <v>1</v>
      </c>
      <c r="I9" s="14">
        <f>F9*G9*H9*FxRate</f>
        <v/>
      </c>
      <c r="J9" s="14">
        <f>I9*12/365</f>
        <v/>
      </c>
      <c r="K9" s="14">
        <f>I9*12</f>
        <v/>
      </c>
      <c r="L9" s="25" t="inlineStr">
        <is>
          <t>_bmad-output/planning-artifacts/architecture/architecture-ocrinvoicing-2026-09-28/ARCHITECTURE-SPINE.md AD-17</t>
        </is>
      </c>
      <c r="M9" s="25" t="inlineStr">
        <is>
          <t>Azure Retail Prices API, Azure Monitor / Alerts Metric Monitored, southeastasia, USD per 1/Month, meterId 6860c782-bbcc-41ed-a218-fb308dd0942e, fetched 2026-09-28</t>
        </is>
      </c>
      <c r="N9" s="25" t="inlineStr">
        <is>
          <t>assumption: ~10 time series per env (poison_message x 8 queues, stuck_invoices, di_pages_used_pct); first 10 per subscription free, half billed here</t>
        </is>
      </c>
      <c r="O9" t="inlineStr">
        <is>
          <t>Prod</t>
        </is>
      </c>
    </row>
    <row r="10">
      <c r="A10" t="n">
        <v>6</v>
      </c>
      <c r="B10" t="inlineStr">
        <is>
          <t>Log Analytics + App Insights</t>
        </is>
      </c>
      <c r="C10" t="inlineStr">
        <is>
          <t>Log Analytics</t>
        </is>
      </c>
      <c r="D10" t="inlineStr">
        <is>
          <t>Analytics Logs ingestion, within 5 GB free</t>
        </is>
      </c>
      <c r="E10" t="inlineStr">
        <is>
          <t>1 GB</t>
        </is>
      </c>
      <c r="F10" s="34" t="n">
        <v>0</v>
      </c>
      <c r="G10" s="4" t="n">
        <v>1</v>
      </c>
      <c r="H10" s="4" t="n">
        <v>2.4</v>
      </c>
      <c r="I10" s="14">
        <f>F10*G10*H10*FxRate</f>
        <v/>
      </c>
      <c r="J10" s="14">
        <f>I10*12/365</f>
        <v/>
      </c>
      <c r="K10" s="14">
        <f>I10*12</f>
        <v/>
      </c>
      <c r="L10" s="25" t="inlineStr">
        <is>
          <t>_bmad-output/planning-artifacts/architecture/architecture-ocrinvoicing-2026-09-28/ARCHITECTURE-SPINE.md AD-17</t>
        </is>
      </c>
      <c r="M10" s="25" t="inlineStr">
        <is>
          <t>Azure Retail Prices API, Log Analytics / Analytics Logs Data Ingestion, southeastasia, USD per 1 GB, meterId 7a4feecb-f730-49f8-a801-efe03d15b862, fetched 2026-09-28</t>
        </is>
      </c>
      <c r="N10" s="25" t="inlineStr">
        <is>
          <t>0.08 GB/day cap = 2.4 GB/month; both envs 4.8 GB, inside the 5 GB free tier (AD-17)</t>
        </is>
      </c>
      <c r="O10" t="inlineStr">
        <is>
          <t>Prod</t>
        </is>
      </c>
    </row>
    <row r="11">
      <c r="F11" s="15" t="n"/>
      <c r="G11" s="15" t="n"/>
      <c r="H11" s="15" t="n"/>
      <c r="I11" s="14">
        <f>IF(F11="","",F11*G11*H11*FxRate)</f>
        <v/>
      </c>
      <c r="J11" s="14">
        <f>IF(I11="","",I11*12/365)</f>
        <v/>
      </c>
      <c r="K11" s="14">
        <f>IF(I11="","",I11*12)</f>
        <v/>
      </c>
      <c r="O11" t="inlineStr">
        <is>
          <t>Prod</t>
        </is>
      </c>
    </row>
    <row r="12">
      <c r="F12" s="15" t="n"/>
      <c r="G12" s="15" t="n"/>
      <c r="H12" s="15" t="n"/>
      <c r="I12" s="14">
        <f>IF(F12="","",F12*G12*H12*FxRate)</f>
        <v/>
      </c>
      <c r="J12" s="14">
        <f>IF(I12="","",I12*12/365)</f>
        <v/>
      </c>
      <c r="K12" s="14">
        <f>IF(I12="","",I12*12)</f>
        <v/>
      </c>
      <c r="O12" t="inlineStr">
        <is>
          <t>Prod</t>
        </is>
      </c>
    </row>
    <row r="13">
      <c r="F13" s="15" t="n"/>
      <c r="G13" s="15" t="n"/>
      <c r="H13" s="15" t="n"/>
      <c r="I13" s="14">
        <f>IF(F13="","",F13*G13*H13*FxRate)</f>
        <v/>
      </c>
      <c r="J13" s="14">
        <f>IF(I13="","",I13*12/365)</f>
        <v/>
      </c>
      <c r="K13" s="14">
        <f>IF(I13="","",I13*12)</f>
        <v/>
      </c>
      <c r="O13" t="inlineStr">
        <is>
          <t>Prod</t>
        </is>
      </c>
    </row>
    <row r="14">
      <c r="A14" s="16" t="inlineStr">
        <is>
          <t>Total</t>
        </is>
      </c>
      <c r="B14" s="16" t="n"/>
      <c r="C14" s="16" t="n"/>
      <c r="D14" s="16" t="n"/>
      <c r="E14" s="16" t="n"/>
      <c r="F14" s="16" t="n"/>
      <c r="G14" s="16" t="n"/>
      <c r="H14" s="16" t="n"/>
      <c r="I14" s="18">
        <f>SUM(I5:I13)</f>
        <v/>
      </c>
      <c r="J14" s="18">
        <f>SUM(J5:J13)</f>
        <v/>
      </c>
      <c r="K14" s="18">
        <f>SUM(K5:K13)</f>
        <v/>
      </c>
      <c r="L14" s="16" t="n"/>
      <c r="M14" s="16" t="n"/>
      <c r="N14" s="16"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 customWidth="1" min="1" max="1"/>
    <col width="120" customWidth="1" min="2" max="2"/>
  </cols>
  <sheetData>
    <row r="1">
      <c r="A1" s="1" t="inlineStr">
        <is>
          <t>Sources, assumptions and gaps</t>
        </is>
      </c>
    </row>
    <row r="3">
      <c r="A3" s="2" t="inlineStr">
        <is>
          <t>Price basis</t>
        </is>
      </c>
    </row>
    <row r="4">
      <c r="B4" s="35" t="inlineStr">
        <is>
          <t>Azure Retail Prices API list prices (pay-as-you-go, no discounts), region southeastasia, USD, fetched 2026-09-28.</t>
        </is>
      </c>
    </row>
    <row r="5">
      <c r="B5" s="35" t="inlineStr">
        <is>
          <t>Rate card: Dj, in chat 2026-09-28: blended average day rate, updated 2026-09-28.</t>
        </is>
      </c>
    </row>
    <row r="6">
      <c r="B6" s="35" t="inlineStr">
        <is>
          <t>Horizon: 5 years of run after go-live, run costs rising 0% a year.</t>
        </is>
      </c>
    </row>
    <row r="8">
      <c r="A8" s="2" t="inlineStr">
        <is>
          <t>Gaps: not priced and not in any total</t>
        </is>
      </c>
    </row>
    <row r="9">
      <c r="B9" s="35" t="inlineStr">
        <is>
          <t>Team size and days: proposed 2 people x 32 days; Dj has not set them.</t>
        </is>
      </c>
    </row>
    <row r="10">
      <c r="B10" s="35" t="inlineStr">
        <is>
          <t>Run support mandays: proposed 12 a year; not set.</t>
        </is>
      </c>
    </row>
    <row r="11">
      <c r="B11" s="35" t="inlineStr">
        <is>
          <t>Revenue or counted savings: none given, so no payback or ROI (SPEC says it removes manual keying of thousands of invoices a month).</t>
        </is>
      </c>
    </row>
    <row r="12">
      <c r="B12" s="35" t="inlineStr">
        <is>
          <t>Contingency: 0% until Dj sets one.</t>
        </is>
      </c>
    </row>
    <row r="13">
      <c r="B13" s="35" t="inlineStr">
        <is>
          <t>Delivery start date: not given, so epics and sprints are undated.</t>
        </is>
      </c>
    </row>
    <row r="14">
      <c r="B14" s="35" t="inlineStr">
        <is>
          <t>Azure DevOps: assumed within the free tier (5 Basic users, 1 free Microsoft-hosted pipeline job); not priced.</t>
        </is>
      </c>
    </row>
    <row r="15">
      <c r="B15" s="35" t="inlineStr">
        <is>
          <t>Actual cloud spend: the solution is not deployed yet (no babaloo-sea-lng-* resource groups in subscription Babaloo on 2026-09-28), so there is nothing to compare.</t>
        </is>
      </c>
    </row>
    <row r="16">
      <c r="B16" s="35" t="inlineStr">
        <is>
          <t>Production volumes: F0 caps DI at 500 pages a month; SPEC's 'thousands a month' needs S0 (~$10 per 1,000 pages) and breaks P-2.</t>
        </is>
      </c>
    </row>
    <row r="17">
      <c r="B17" s="35" t="inlineStr">
        <is>
          <t>Functions Flex on-demand: within the free 100K GB-s and 250K executions a month (AD-1), so no line is priced; the billed rate beyond that is $0.000037 per GB-s.</t>
        </is>
      </c>
    </row>
    <row r="18">
      <c r="B18" s="35" t="inlineStr">
        <is>
          <t>Revenue: none given, so the Multi-Year sheet shows costs only.</t>
        </is>
      </c>
    </row>
    <row r="20">
      <c r="A20" s="2" t="inlineStr">
        <is>
          <t>Assumptions and owner statements (not from the BMad artifacts)</t>
        </is>
      </c>
    </row>
    <row r="21">
      <c r="B21" s="35" t="inlineStr">
        <is>
          <t>Team / Team member (blended): assumption: 2 people for 32 days (30 stories at ~1 story/day, AI-assisted, plus 2 days slack); Dj to confirm</t>
        </is>
      </c>
    </row>
    <row r="22">
      <c r="B22" s="35" t="inlineStr">
        <is>
          <t>Support / Team member (blended): assumption: 1 day a month for patching, dependency upgrades, DB start/stop and alert triage; Dj to confirm</t>
        </is>
      </c>
    </row>
    <row r="23">
      <c r="B23" s="35" t="inlineStr">
        <is>
          <t>Phase budget / planning changes (correct course): owner: Dj, 2026-09-28</t>
        </is>
      </c>
    </row>
    <row r="24">
      <c r="B24" s="35" t="inlineStr">
        <is>
          <t>Phase budget / test design: owner: Dj, 2026-09-28</t>
        </is>
      </c>
    </row>
    <row r="25">
      <c r="B25" s="35" t="inlineStr">
        <is>
          <t>Phase budget / merges, promotions &amp; deploys: owner: Dj, 2026-09-28</t>
        </is>
      </c>
    </row>
    <row r="26">
      <c r="B26" s="35" t="inlineStr">
        <is>
          <t>Phase budget / governance (Jules): owner: Dj, 2026-09-28</t>
        </is>
      </c>
    </row>
    <row r="27">
      <c r="B27" s="35" t="inlineStr">
        <is>
          <t>Phase budget / architecture docs (Da Vinci): owner: Dj, 2026-09-28</t>
        </is>
      </c>
    </row>
    <row r="28">
      <c r="B28" s="35" t="inlineStr">
        <is>
          <t>Phase budget / token reporting: owner: Dj, 2026-09-28</t>
        </is>
      </c>
    </row>
    <row r="30">
      <c r="A30" s="2" t="inlineStr">
        <is>
          <t>Stamp: built 2026-09-28T22:52:18; sha256 of each cited file</t>
        </is>
      </c>
    </row>
    <row r="31">
      <c r="B31" s="35" t="inlineStr">
        <is>
          <t>_bmad-output/planning-artifacts/architecture/architecture-ocrinvoicing-2026-09-28/ARCHITECTURE-SPINE.md  0772124ce4c6</t>
        </is>
      </c>
    </row>
    <row r="32">
      <c r="B32" s="35" t="inlineStr">
        <is>
          <t>_bmad-output/planning-artifacts/epics.md  ba1900bf6060</t>
        </is>
      </c>
    </row>
    <row r="33">
      <c r="B33" s="35" t="inlineStr">
        <is>
          <t>_bmad/memory/agent-scrooge/rate-card.json  86a802068a37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2026-09-28T14:52:18Z</dcterms:created>
  <dcterms:modified xsi:type="dcterms:W3CDTF">2026-09-28T14:52:18Z</dcterms:modified>
</cp:coreProperties>
</file>